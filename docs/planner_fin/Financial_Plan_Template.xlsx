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Insurance" sheetId="3" state="visible" r:id="rId5"/>
    <sheet name="Goals" sheetId="4" state="visible" r:id="rId6"/>
    <sheet name="Retirement" sheetId="5" state="visible" r:id="rId7"/>
    <sheet name="Projection" sheetId="6" state="visible" r:id="rId8"/>
    <sheet name="Calculators" sheetId="7" state="visible" r:id="rId9"/>
    <sheet name="Allocation" sheetId="8" state="visible" r:id="rId10"/>
    <sheet name="FormulaGuide" sheetId="9" state="visible" r:id="rId11"/>
    <sheet name="Tabl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<sst xmlns="http://schemas.openxmlformats.org/spreadsheetml/2006/main" count="1172" uniqueCount="702">
  <si>
    <t xml:space="preserve">FINANCIAL PLAN SUMMARY  -  SINGLE PAGE DASHBOARD</t>
  </si>
  <si>
    <t xml:space="preserve">Everything on this page is a live link. Change anything on the Inputs sheet and this dashboard, and every other sheet, updates instantly. Built to be reused for any client.</t>
  </si>
  <si>
    <t xml:space="preserve">CLIENT &amp; CASH FLOW</t>
  </si>
  <si>
    <t xml:space="preserve">Item</t>
  </si>
  <si>
    <t xml:space="preserve">Value</t>
  </si>
  <si>
    <t xml:space="preserve">Unit</t>
  </si>
  <si>
    <t xml:space="preserve">Where It Comes From</t>
  </si>
  <si>
    <t xml:space="preserve">Client</t>
  </si>
  <si>
    <t xml:space="preserve">Inputs sheet.</t>
  </si>
  <si>
    <t xml:space="preserve">Age / Retirement Age / Life Expectancy</t>
  </si>
  <si>
    <t xml:space="preserve">years</t>
  </si>
  <si>
    <t xml:space="preserve">Annual Gross Income</t>
  </si>
  <si>
    <t xml:space="preserve">₹ p.a.</t>
  </si>
  <si>
    <t xml:space="preserve">Annual Post-Tax Income</t>
  </si>
  <si>
    <t xml:space="preserve">Gross x (1 - effective tax rate).</t>
  </si>
  <si>
    <t xml:space="preserve">Annual Living Expenses</t>
  </si>
  <si>
    <t xml:space="preserve">Monthly expenses x 12.</t>
  </si>
  <si>
    <t xml:space="preserve">Annual Insurance Premiums</t>
  </si>
  <si>
    <t xml:space="preserve">Insurance sheet, section H.</t>
  </si>
  <si>
    <t xml:space="preserve">Monthly Investible Surplus</t>
  </si>
  <si>
    <t xml:space="preserve">₹ p.m.</t>
  </si>
  <si>
    <t xml:space="preserve">Post-tax income less expenses less premiums, divided by 12.</t>
  </si>
  <si>
    <t xml:space="preserve">Savings Rate</t>
  </si>
  <si>
    <t xml:space="preserve">%</t>
  </si>
  <si>
    <t xml:space="preserve">Investible surplus / post-tax income.</t>
  </si>
  <si>
    <t xml:space="preserve">Net Worth Today</t>
  </si>
  <si>
    <t xml:space="preserve">₹</t>
  </si>
  <si>
    <t xml:space="preserve">Assets less liabilities.</t>
  </si>
  <si>
    <t xml:space="preserve">STEP 1  -  PROTECTION  (buy this before investing a single rupee)</t>
  </si>
  <si>
    <t xml:space="preserve">Term Life Cover to Buy</t>
  </si>
  <si>
    <t xml:space="preserve">Highest of income-multiple, human life value and needs-based methods, less existing cover.</t>
  </si>
  <si>
    <t xml:space="preserve">Term Policy Tenure</t>
  </si>
  <si>
    <t xml:space="preserve">To age 70.</t>
  </si>
  <si>
    <t xml:space="preserve">Estimated Term Premium</t>
  </si>
  <si>
    <t xml:space="preserve">Cover / 1 lakh x age-banded rate.</t>
  </si>
  <si>
    <t xml:space="preserve">Health Base Cover to Hold</t>
  </si>
  <si>
    <t xml:space="preserve">MAX(age benchmark, 50% of income) x city factor x family loading.</t>
  </si>
  <si>
    <t xml:space="preserve">Super Top-Up to Add</t>
  </si>
  <si>
    <t xml:space="preserve">3x the base cover, deductible equal to the base.</t>
  </si>
  <si>
    <t xml:space="preserve">Total Effective Health Cover</t>
  </si>
  <si>
    <t xml:space="preserve">Base + super top-up.</t>
  </si>
  <si>
    <t xml:space="preserve">Critical Illness Cover</t>
  </si>
  <si>
    <t xml:space="preserve">MIN(3x gross income, ₹50L).</t>
  </si>
  <si>
    <t xml:space="preserve">Personal Accident Cover</t>
  </si>
  <si>
    <t xml:space="preserve">10x gross income.</t>
  </si>
  <si>
    <t xml:space="preserve">TOTAL ANNUAL PREMIUM</t>
  </si>
  <si>
    <t xml:space="preserve">All five policies combined.</t>
  </si>
  <si>
    <t xml:space="preserve">Premium as % of Gross Income</t>
  </si>
  <si>
    <t xml:space="preserve">Should stay under 5%.</t>
  </si>
  <si>
    <t xml:space="preserve">STEP 2  -  EMERGENCY FUND &amp; SHORT-TERM GOALS</t>
  </si>
  <si>
    <t xml:space="preserve">Emergency Fund Target</t>
  </si>
  <si>
    <t xml:space="preserve">Monthly expenses x number of months set on the Inputs sheet.</t>
  </si>
  <si>
    <t xml:space="preserve">Total Future Cost of All Goals</t>
  </si>
  <si>
    <t xml:space="preserve">Goals sheet, shortfall column total.</t>
  </si>
  <si>
    <t xml:space="preserve">Monthly SIP if All Goals Ran Concurrently</t>
  </si>
  <si>
    <t xml:space="preserve">Goals sheet, monthly SIP column total. The ceiling, not the plan - goals are sequenced.</t>
  </si>
  <si>
    <t xml:space="preserve">STEP 3  -  RETIREMENT</t>
  </si>
  <si>
    <t xml:space="preserve">Years to Retirement</t>
  </si>
  <si>
    <t xml:space="preserve">Retirement age less current age.</t>
  </si>
  <si>
    <t xml:space="preserve">First-Year Retirement Expense (nominal)</t>
  </si>
  <si>
    <t xml:space="preserve">Today's retirement expense inflated to the retirement date.</t>
  </si>
  <si>
    <t xml:space="preserve">RETIREMENT CORPUS REQUIRED</t>
  </si>
  <si>
    <t xml:space="preserve">Present value of inflation-linked withdrawals plus medical buffer and legacy.</t>
  </si>
  <si>
    <t xml:space="preserve">Same Corpus in Today's Money</t>
  </si>
  <si>
    <t xml:space="preserve">Corpus deflated back at general inflation.</t>
  </si>
  <si>
    <t xml:space="preserve">Value of Existing Corpus at Retirement</t>
  </si>
  <si>
    <t xml:space="preserve">Existing investments compounded at the blended return.</t>
  </si>
  <si>
    <t xml:space="preserve">CORPUS GAP TO FUND</t>
  </si>
  <si>
    <t xml:space="preserve">Required less expected. This is what new investing must create.</t>
  </si>
  <si>
    <t xml:space="preserve">Level Monthly SIP (never increased)</t>
  </si>
  <si>
    <t xml:space="preserve">Retirement sheet, option 1.</t>
  </si>
  <si>
    <t xml:space="preserve">RECOMMENDED: Step-Up SIP, year 1</t>
  </si>
  <si>
    <t xml:space="preserve">Retirement sheet, option 2. Raise it 10% every year as income grows.</t>
  </si>
  <si>
    <t xml:space="preserve">Or One-Time Lumpsum Today</t>
  </si>
  <si>
    <t xml:space="preserve">Retirement sheet, option 3.</t>
  </si>
  <si>
    <t xml:space="preserve">Wealth Created by Compounding</t>
  </si>
  <si>
    <t xml:space="preserve">Corpus gap less total money actually invested.</t>
  </si>
  <si>
    <t xml:space="preserve">STEP 4  -  ASSET ALLOCATION OF THE MONTHLY SURPLUS</t>
  </si>
  <si>
    <t xml:space="preserve">Equity</t>
  </si>
  <si>
    <t xml:space="preserve">Glide-path equity weight at the current age.</t>
  </si>
  <si>
    <t xml:space="preserve">Debt (incl. EPF / PPF)</t>
  </si>
  <si>
    <t xml:space="preserve">Glide-path debt weight.</t>
  </si>
  <si>
    <t xml:space="preserve">Gold</t>
  </si>
  <si>
    <t xml:space="preserve">Glide-path gold weight.</t>
  </si>
  <si>
    <t xml:space="preserve">FEASIBILITY CHECK</t>
  </si>
  <si>
    <t xml:space="preserve">Available to invest.</t>
  </si>
  <si>
    <t xml:space="preserve">Committed Now (Critical + High goals + Retirement)</t>
  </si>
  <si>
    <t xml:space="preserve">Goals sheet affordability block. Only Critical and High priority goals start immediately.</t>
  </si>
  <si>
    <t xml:space="preserve">Surplus / (Deficit)</t>
  </si>
  <si>
    <t xml:space="preserve">Negative means the plan as written is not fundable - stretch a horizon, trim a goal amount, or raise income.</t>
  </si>
  <si>
    <t xml:space="preserve">Committed as % of Surplus</t>
  </si>
  <si>
    <t xml:space="preserve">Under 100% the plan is fundable today.</t>
  </si>
  <si>
    <t xml:space="preserve">Deferred Medium / Low priority goal SIPs</t>
  </si>
  <si>
    <t xml:space="preserve">Started later, funded by instalments released as earlier goals complete and by 8% annual income growth.</t>
  </si>
  <si>
    <t xml:space="preserve">ACTION SEQUENCE</t>
  </si>
  <si>
    <t xml:space="preserve">1.  Buy the term plan TODAY</t>
  </si>
  <si>
    <t xml:space="preserve">Premium is locked for the whole term at age-24 rates. Every year of delay raises the lifetime cost by roughly 8-12%.</t>
  </si>
  <si>
    <t xml:space="preserve">2.  Buy a personal health floater independent of the employer</t>
  </si>
  <si>
    <t xml:space="preserve">Employer cover vanishes with the job, and pre-existing conditions acquired in the meantime become permanently excluded.</t>
  </si>
  <si>
    <t xml:space="preserve">3.  Add the super top-up</t>
  </si>
  <si>
    <t xml:space="preserve">Large-claim protection at roughly a quarter of base-policy cost.</t>
  </si>
  <si>
    <t xml:space="preserve">4.  Add critical illness and personal accident cover</t>
  </si>
  <si>
    <t xml:space="preserve">These replace INCOME during illness or disability, which a hospitalisation policy does not.</t>
  </si>
  <si>
    <t xml:space="preserve">5.  Build the emergency fund in liquid funds and sweep-in FDs</t>
  </si>
  <si>
    <t xml:space="preserve">6 months of expenses. Until this exists, every other investment is really a forced-sale risk.</t>
  </si>
  <si>
    <t xml:space="preserve">6.  Start the retirement step-up SIP</t>
  </si>
  <si>
    <t xml:space="preserve">36 years of compounding is this client's single largest financial asset.</t>
  </si>
  <si>
    <t xml:space="preserve">7.  Layer in goal SIPs by horizon</t>
  </si>
  <si>
    <t xml:space="preserve">Under 3 years: debt only. 3-7 years: hybrid. Over 7 years: equity.</t>
  </si>
  <si>
    <t xml:space="preserve">8.  Register nominations, write a will, keep a document register</t>
  </si>
  <si>
    <t xml:space="preserve">The cheapest and most neglected step in the whole plan.</t>
  </si>
  <si>
    <t xml:space="preserve">9.  Review annually and after every life event</t>
  </si>
  <si>
    <t xml:space="preserve">Marriage, a child, a job change or a house purchase each invalidate at least one assumption on the Inputs sheet.</t>
  </si>
  <si>
    <t xml:space="preserve">DISCLAIMER: this workbook is a planning model, not investment, insurance or tax advice, and I am not a financial adviser. Return and inflation figures are long-run assumptions that no single decade is obliged to deliver. Premium rates are indicative and must be replaced with actual quotes. Tax treatment depends on the regime chosen and on rules that change. Have the plan reviewed by a SEBI-registered investment adviser before acting on it.</t>
  </si>
  <si>
    <t xml:space="preserve">1.  CLIENT INPUTS &amp; PLANNING ASSUMPTIONS</t>
  </si>
  <si>
    <t xml:space="preserve">HOW TO USE: edit only the YELLOW cells (blue text). Every other cell on every sheet is a live formula that recalculates automatically. Black = formula on this sheet, green = pulled from another sheet.</t>
  </si>
  <si>
    <t xml:space="preserve">A.  CLIENT PROFILE</t>
  </si>
  <si>
    <t xml:space="preserve">Parameter</t>
  </si>
  <si>
    <t xml:space="preserve">Formula / Logic Used</t>
  </si>
  <si>
    <t xml:space="preserve">Client Name</t>
  </si>
  <si>
    <t xml:space="preserve">Client A</t>
  </si>
  <si>
    <t xml:space="preserve">text</t>
  </si>
  <si>
    <t xml:space="preserve">Free text label used on the Summary sheet.</t>
  </si>
  <si>
    <t xml:space="preserve">Plan Start Date (financial year)</t>
  </si>
  <si>
    <t xml:space="preserve">FY 2026-27</t>
  </si>
  <si>
    <t xml:space="preserve">Reference year for all 'today's cost' figures.</t>
  </si>
  <si>
    <t xml:space="preserve">Current Age</t>
  </si>
  <si>
    <t xml:space="preserve">Drives insurance multiples, premium rates and the allocation glide path.</t>
  </si>
  <si>
    <t xml:space="preserve">Planned Retirement Age</t>
  </si>
  <si>
    <t xml:space="preserve">End of the accumulation phase.</t>
  </si>
  <si>
    <t xml:space="preserve">Life Expectancy</t>
  </si>
  <si>
    <t xml:space="preserve">Corpus must last until this age. Conservative for a 24-year-old today.</t>
  </si>
  <si>
    <t xml:space="preserve">Number of Financial Dependents</t>
  </si>
  <si>
    <t xml:space="preserve">count</t>
  </si>
  <si>
    <t xml:space="preserve">Used in the needs-based life cover method.</t>
  </si>
  <si>
    <t xml:space="preserve">Family Members to Insure (Health)</t>
  </si>
  <si>
    <t xml:space="preserve">Self + spouse + children on a floater policy.</t>
  </si>
  <si>
    <t xml:space="preserve">City Tier Factor</t>
  </si>
  <si>
    <t xml:space="preserve">x</t>
  </si>
  <si>
    <t xml:space="preserve">Metro = 1.00, Tier-2 = 0.80, Tier-3 = 0.65. Scales the health cover benchmark to local hospitalisation costs.</t>
  </si>
  <si>
    <t xml:space="preserve">B.  INCOME &amp; CASH FLOW</t>
  </si>
  <si>
    <t xml:space="preserve">Mid-point of the ₹30-40 lakh range. Change to run the plan at either end.</t>
  </si>
  <si>
    <t xml:space="preserve">Effective Tax Rate</t>
  </si>
  <si>
    <t xml:space="preserve">All-in effective rate (new regime, ₹35L salary, incl. cess). Not the marginal slab.</t>
  </si>
  <si>
    <t xml:space="preserve">Formula:  Gross Income x (1 - Effective Tax Rate)</t>
  </si>
  <si>
    <t xml:space="preserve">Monthly Post-Tax Income</t>
  </si>
  <si>
    <t xml:space="preserve">Formula:  Annual Post-Tax Income / 12</t>
  </si>
  <si>
    <t xml:space="preserve">Monthly Household Expenses</t>
  </si>
  <si>
    <t xml:space="preserve">All living costs incl. rent, EMIs (interest), lifestyle. Excludes investments.</t>
  </si>
  <si>
    <t xml:space="preserve">Annual Household Expenses</t>
  </si>
  <si>
    <t xml:space="preserve">Formula:  Monthly Expenses x 12</t>
  </si>
  <si>
    <t xml:space="preserve">Annual Insurance Premium Outgo</t>
  </si>
  <si>
    <t xml:space="preserve">Total of term + health + super top-up + critical illness + accident premiums. Pulled from the Insurance sheet.</t>
  </si>
  <si>
    <t xml:space="preserve">Annual Investible Surplus</t>
  </si>
  <si>
    <t xml:space="preserve">Formula:  Post-Tax Income - Living Expenses - Insurance Premiums</t>
  </si>
  <si>
    <t xml:space="preserve">Formula:  Annual Investible Surplus / 12. This is the budget every SIP on this workbook must fit inside.</t>
  </si>
  <si>
    <t xml:space="preserve">Formula:  Investible Surplus / Post-Tax Income. Target 40%+ at this age and income.</t>
  </si>
  <si>
    <t xml:space="preserve">Expected Annual Income Growth</t>
  </si>
  <si>
    <t xml:space="preserve">Supports the step-up SIP assumption - if income grows 8%, a 10% SIP step-up is affordable.</t>
  </si>
  <si>
    <t xml:space="preserve">C.  EXISTING ASSETS &amp; LIABILITIES</t>
  </si>
  <si>
    <t xml:space="preserve">Existing Equity Investments (MF / stocks / NPS-E)</t>
  </si>
  <si>
    <t xml:space="preserve">Market value today.</t>
  </si>
  <si>
    <t xml:space="preserve">Existing Debt Investments (EPF / PPF / debt MF)</t>
  </si>
  <si>
    <t xml:space="preserve">Balance today.</t>
  </si>
  <si>
    <t xml:space="preserve">Existing Cash, FD &amp; Liquid Funds</t>
  </si>
  <si>
    <t xml:space="preserve">Includes anything already set aside as emergency money.</t>
  </si>
  <si>
    <t xml:space="preserve">Total Existing Corpus</t>
  </si>
  <si>
    <t xml:space="preserve">Formula:  Equity + Debt + Cash</t>
  </si>
  <si>
    <t xml:space="preserve">Outstanding Home Loan</t>
  </si>
  <si>
    <t xml:space="preserve">Principal outstanding.</t>
  </si>
  <si>
    <t xml:space="preserve">Other Loans (car / personal / education)</t>
  </si>
  <si>
    <t xml:space="preserve">Total Liabilities</t>
  </si>
  <si>
    <t xml:space="preserve">Formula:  Home Loan + Other Loans. Must be fully covered by life insurance.</t>
  </si>
  <si>
    <t xml:space="preserve">Net Worth</t>
  </si>
  <si>
    <t xml:space="preserve">Formula:  Total Assets - Total Liabilities</t>
  </si>
  <si>
    <t xml:space="preserve">Existing Life Cover (term + employer + others)</t>
  </si>
  <si>
    <t xml:space="preserve">Employer group cover is not portable - count it, but do not rely on it.</t>
  </si>
  <si>
    <t xml:space="preserve">Existing Health Cover (personal + employer)</t>
  </si>
  <si>
    <t xml:space="preserve">Typically employer floater only, at this stage.</t>
  </si>
  <si>
    <t xml:space="preserve">D.  INFLATION &amp; RETURN ASSUMPTIONS</t>
  </si>
  <si>
    <t xml:space="preserve">General Inflation (CPI)</t>
  </si>
  <si>
    <t xml:space="preserve">Long-run Indian CPI assumption. Applied to living expenses and generic goals.</t>
  </si>
  <si>
    <t xml:space="preserve">Medical Inflation</t>
  </si>
  <si>
    <t xml:space="preserve">Runs far above CPI in India. Applied to the health cover requirement.</t>
  </si>
  <si>
    <t xml:space="preserve">Education Inflation</t>
  </si>
  <si>
    <t xml:space="preserve">Applied to child education goals.</t>
  </si>
  <si>
    <t xml:space="preserve">Equity Return (long term, pre-retirement)</t>
  </si>
  <si>
    <t xml:space="preserve">Nominal CAGR assumption for diversified Indian equity over 30+ years.</t>
  </si>
  <si>
    <t xml:space="preserve">Debt Return</t>
  </si>
  <si>
    <t xml:space="preserve">EPF / PPF / debt MF blended nominal return.</t>
  </si>
  <si>
    <t xml:space="preserve">Pre-Retirement Equity Allocation</t>
  </si>
  <si>
    <t xml:space="preserve">Starting equity weight. See the Allocation sheet for the full glide path.</t>
  </si>
  <si>
    <t xml:space="preserve">Blended Pre-Retirement Return</t>
  </si>
  <si>
    <t xml:space="preserve">Formula:  (Equity Return x Equity Weight) + (Debt Return x Debt Weight). The single growth rate used for all accumulation maths.</t>
  </si>
  <si>
    <t xml:space="preserve">Post-Retirement Portfolio Return</t>
  </si>
  <si>
    <t xml:space="preserve">Lower-risk drawdown portfolio (roughly 30% equity / 70% debt).</t>
  </si>
  <si>
    <t xml:space="preserve">Annual SIP Step-Up Rate</t>
  </si>
  <si>
    <t xml:space="preserve">How much the SIP is increased each year. Should be &lt;= expected income growth.</t>
  </si>
  <si>
    <t xml:space="preserve">Real Return - Pre-Retirement</t>
  </si>
  <si>
    <t xml:space="preserve">Formula:  (1 + Nominal Return) / (1 + Inflation) - 1.  Fisher equation. Purchasing-power growth, not the crude 'return minus inflation'.</t>
  </si>
  <si>
    <t xml:space="preserve">Real Return - Post-Retirement</t>
  </si>
  <si>
    <t xml:space="preserve">Formula:  (1 + Post-Ret Return) / (1 + Inflation) - 1.  Used to size the retirement corpus so withdrawals can rise with inflation every year.</t>
  </si>
  <si>
    <t xml:space="preserve">Real Discount Rate for Insurance (conservative)</t>
  </si>
  <si>
    <t xml:space="preserve">Formula:  (1 + Debt Return) / (1 + Inflation) - 1.  Life cover is discounted at a SAFE rate, not an equity rate - the family should not have to take market risk.</t>
  </si>
  <si>
    <t xml:space="preserve">E.  DERIVED PLANNING PARAMETERS</t>
  </si>
  <si>
    <t xml:space="preserve">Formula:  Retirement Age - Current Age</t>
  </si>
  <si>
    <t xml:space="preserve">Months to Retirement</t>
  </si>
  <si>
    <t xml:space="preserve">months</t>
  </si>
  <si>
    <t xml:space="preserve">Formula:  Years to Retirement x 12</t>
  </si>
  <si>
    <t xml:space="preserve">Years in Retirement</t>
  </si>
  <si>
    <t xml:space="preserve">Formula:  Life Expectancy - Retirement Age. The corpus must fund this many years.</t>
  </si>
  <si>
    <t xml:space="preserve">Retirement Expense as % of Current Expense</t>
  </si>
  <si>
    <t xml:space="preserve">Work-related and child-related costs fall away; healthcare rises. 70-80% is the standard planning band.</t>
  </si>
  <si>
    <t xml:space="preserve">Emergency Fund Target (months of expenses)</t>
  </si>
  <si>
    <t xml:space="preserve">6 months for a salaried single earner; 9-12 if income is variable or single-income with dependents.</t>
  </si>
  <si>
    <t xml:space="preserve">ASSUMPTION LOG: income ₹35L is the mid-point of the ₹30-40L range stated by the client. Tax rate, expenses, existing assets and cover are placeholders - overwrite with actuals per client. Return and inflation figures are long-run planning assumptions, not guarantees; equity returns are not linear and any single decade can undershoot.</t>
  </si>
  <si>
    <t xml:space="preserve">2.  INSURANCE PLANNING  -  LIFE, HEALTH, CRITICAL ILLNESS, ACCIDENT</t>
  </si>
  <si>
    <t xml:space="preserve">PRIORITY ORDER: risk cover is bought BEFORE any investment. An uninsured medical event or death destroys a portfolio far faster than any market fall. Buy term + health first, then invest the balance.</t>
  </si>
  <si>
    <t xml:space="preserve">A.  CLIENT SNAPSHOT  (pulled from the Inputs sheet)</t>
  </si>
  <si>
    <t xml:space="preserve">Link to Inputs.</t>
  </si>
  <si>
    <t xml:space="preserve">Income-earning years remaining.</t>
  </si>
  <si>
    <t xml:space="preserve">Must be extinguished by the death benefit.</t>
  </si>
  <si>
    <t xml:space="preserve">Assets the family already has - reduces cover needed.</t>
  </si>
  <si>
    <t xml:space="preserve">Existing Life Cover</t>
  </si>
  <si>
    <t xml:space="preserve">Deducted from the requirement.</t>
  </si>
  <si>
    <t xml:space="preserve">Existing Health Cover</t>
  </si>
  <si>
    <t xml:space="preserve">Safe Real Discount Rate</t>
  </si>
  <si>
    <t xml:space="preserve">Debt-return-based real rate. Used for all present-value insurance maths.</t>
  </si>
  <si>
    <t xml:space="preserve">B.  LIFE INSURANCE  -  METHOD 1: INCOME MULTIPLE (THUMB RULE)</t>
  </si>
  <si>
    <t xml:space="preserve">Applicable Income Multiple</t>
  </si>
  <si>
    <t xml:space="preserve">Formula:  INDEX(multiples, MATCH(Age, age-bands, 1)).  Approximate-match lookup on the Tables sheet: the multiple falls as the client ages because fewer earning years remain.</t>
  </si>
  <si>
    <t xml:space="preserve">Cover by Income Multiple</t>
  </si>
  <si>
    <t xml:space="preserve">Formula:  Annual Gross Income x Multiple.  Fast sanity check only - it ignores liabilities, assets and actual family need.</t>
  </si>
  <si>
    <t xml:space="preserve">C.  LIFE INSURANCE  -  METHOD 2: HUMAN LIFE VALUE (INCOME REPLACEMENT)</t>
  </si>
  <si>
    <t xml:space="preserve">Self-Consumption Share of Income</t>
  </si>
  <si>
    <t xml:space="preserve">The portion the earner spends on themselves, which the family no longer needs. 25-35% is standard.</t>
  </si>
  <si>
    <t xml:space="preserve">Income Available to Family (annual)</t>
  </si>
  <si>
    <t xml:space="preserve">Formula:  Post-Tax Income x (1 - Self-Consumption Share)</t>
  </si>
  <si>
    <t xml:space="preserve">Present Value of Lost Future Income</t>
  </si>
  <si>
    <t xml:space="preserve">Formula:  PV(real safe rate, years to retirement, -annual income to family).  Using the REAL rate means the payout can be raised with inflation every year, so the family's standard of living is preserved.</t>
  </si>
  <si>
    <t xml:space="preserve">Add: Outstanding Liabilities</t>
  </si>
  <si>
    <t xml:space="preserve">Loans must be cleared, not serviced, on death.</t>
  </si>
  <si>
    <t xml:space="preserve">Less: Existing Corpus</t>
  </si>
  <si>
    <t xml:space="preserve">Assets already available to the family.</t>
  </si>
  <si>
    <t xml:space="preserve">Human Life Value Cover Required</t>
  </si>
  <si>
    <t xml:space="preserve">Formula:  PV of income + Liabilities - Existing Corpus</t>
  </si>
  <si>
    <t xml:space="preserve">D.  LIFE INSURANCE  -  METHOD 3: NEEDS-BASED (MOST ACCURATE)</t>
  </si>
  <si>
    <t xml:space="preserve">Family Expenses if Earner Dies (annual)</t>
  </si>
  <si>
    <t xml:space="preserve">Formula:  Current Annual Household Expenses x 75%.  Household costs fall, but not proportionally - one fewer person does not mean 33% less spending.</t>
  </si>
  <si>
    <t xml:space="preserve">Dependency Period</t>
  </si>
  <si>
    <t xml:space="preserve">Formula:  Life Expectancy - Current Age.  The family needs income support for the SPOUSE'S whole remaining life, not just until the earner would have retired.</t>
  </si>
  <si>
    <t xml:space="preserve">Present Value of Family Expenses</t>
  </si>
  <si>
    <t xml:space="preserve">Formula:  PV(real safe rate, dependency years, -annual family expenses)</t>
  </si>
  <si>
    <t xml:space="preserve">Home loan / other loans repaid in full.</t>
  </si>
  <si>
    <t xml:space="preserve">Add: Children's Education Corpus (today's value)</t>
  </si>
  <si>
    <t xml:space="preserve">Present-day cost of the education goals the earner promised to fund.</t>
  </si>
  <si>
    <t xml:space="preserve">Add: Children's Marriage Corpus (today's value)</t>
  </si>
  <si>
    <t xml:space="preserve">Present-day cost. Set to 0 if not a planned goal.</t>
  </si>
  <si>
    <t xml:space="preserve">Add: Funeral / Immediate Estate Costs</t>
  </si>
  <si>
    <t xml:space="preserve">Immediate liquidity for the family in the first 6 months.</t>
  </si>
  <si>
    <t xml:space="preserve">Assets the family can draw on.</t>
  </si>
  <si>
    <t xml:space="preserve">Needs-Based Cover Required</t>
  </si>
  <si>
    <t xml:space="preserve">Formula:  PV of expenses + Liabilities + Education + Marriage + Estate costs - Existing Corpus</t>
  </si>
  <si>
    <t xml:space="preserve">E.  LIFE INSURANCE  -  RECOMMENDATION</t>
  </si>
  <si>
    <t xml:space="preserve">Highest of the Three Methods</t>
  </si>
  <si>
    <t xml:space="preserve">Formula:  MAX(Income Multiple, HLV, Needs-Based).  Always plan to the highest - under-insurance cannot be fixed after the event.</t>
  </si>
  <si>
    <t xml:space="preserve">Less: Existing Life Cover</t>
  </si>
  <si>
    <t xml:space="preserve">Employer group cover counts here but disappears when the job does.</t>
  </si>
  <si>
    <t xml:space="preserve">Additional Cover Needed</t>
  </si>
  <si>
    <t xml:space="preserve">Formula:  Highest Requirement - Existing Cover, floored at zero.</t>
  </si>
  <si>
    <t xml:space="preserve">RECOMMENDED TERM COVER (rounded up to ₹25L)</t>
  </si>
  <si>
    <t xml:space="preserve">Formula:  CEILING(Additional Cover, 2500000).  Insurers sell in round slabs; rounding up is free protection.</t>
  </si>
  <si>
    <t xml:space="preserve">Recommended Policy Term (to age 70)</t>
  </si>
  <si>
    <t xml:space="preserve">Formula:  70 - Current Age.  Cover must run past retirement age because liabilities and dependants can outlive the salary. Buying at 24 locks this premium for the whole term.</t>
  </si>
  <si>
    <t xml:space="preserve">Premium Rate per ₹1 Lakh of Cover</t>
  </si>
  <si>
    <t xml:space="preserve">Formula:  INDEX(rates, MATCH(Age, age-bands, 1)).  Age-banded lookup from the Tables sheet - this is why buying at 24 rather than 34 roughly halves the lifetime cost.</t>
  </si>
  <si>
    <t xml:space="preserve">Estimated Annual Term Premium</t>
  </si>
  <si>
    <t xml:space="preserve">Formula:  (Cover / 100,000) x Rate per Lakh</t>
  </si>
  <si>
    <t xml:space="preserve">Term Premium as % of Gross Income</t>
  </si>
  <si>
    <t xml:space="preserve">Formula:  Premium / Gross Income.  Total protection cost should stay under ~5% of income.</t>
  </si>
  <si>
    <t xml:space="preserve">F.  HEALTH INSURANCE</t>
  </si>
  <si>
    <t xml:space="preserve">Age-Based Cover Benchmark</t>
  </si>
  <si>
    <t xml:space="preserve">Formula:  INDEX(benchmarks, MATCH(Age, age-bands, 1)).  Minimum sensible base cover for the age band.</t>
  </si>
  <si>
    <t xml:space="preserve">Income-Linked Minimum (50% of gross)</t>
  </si>
  <si>
    <t xml:space="preserve">Formula:  Gross Income x 50%.  A high earner has a higher standard of care and higher out-of-pocket exposure than the age benchmark alone implies.</t>
  </si>
  <si>
    <t xml:space="preserve">Metro hospitalisation costs 25-50% more than Tier-3.</t>
  </si>
  <si>
    <t xml:space="preserve">Family Size Loading</t>
  </si>
  <si>
    <t xml:space="preserve">Formula:  1 + (Family Members - 1) x 25%.  A floater covering 3 people needs more than a single-life sum insured, but not 3x - claims rarely coincide.</t>
  </si>
  <si>
    <t xml:space="preserve">RECOMMENDED BASE COVER (floater)</t>
  </si>
  <si>
    <t xml:space="preserve">Formula:  CEILING( MAX(age benchmark, income minimum) x City Factor x Family Loading, 500000 )</t>
  </si>
  <si>
    <t xml:space="preserve">RECOMMENDED SUPER TOP-UP</t>
  </si>
  <si>
    <t xml:space="preserve">Formula:  Base Cover x 3, rounded to ₹5L.  A super top-up with a deductible equal to the base cover buys large protection for roughly a quarter of the price. This is the single most cost-efficient move in health planning.</t>
  </si>
  <si>
    <t xml:space="preserve">Formula:  Base + Super Top-Up</t>
  </si>
  <si>
    <t xml:space="preserve">Less: Existing Health Cover</t>
  </si>
  <si>
    <t xml:space="preserve">Employer cover ends with employment - treat it as a bonus, not the plan.</t>
  </si>
  <si>
    <t xml:space="preserve">Additional Base Cover to Buy</t>
  </si>
  <si>
    <t xml:space="preserve">Formula:  Recommended Base - Existing Cover</t>
  </si>
  <si>
    <t xml:space="preserve">Health Premium Rate per ₹1 Lakh</t>
  </si>
  <si>
    <t xml:space="preserve">Formula:  INDEX(rates, MATCH(Age, age-bands, 1))</t>
  </si>
  <si>
    <t xml:space="preserve">Estimated Base Policy Premium</t>
  </si>
  <si>
    <t xml:space="preserve">Formula:  (Base Cover / 100,000) x Rate per Lakh</t>
  </si>
  <si>
    <t xml:space="preserve">Estimated Super Top-Up Premium</t>
  </si>
  <si>
    <t xml:space="preserve">Formula:  (Top-Up Cover / 100,000) x Rate per Lakh x Top-Up Discount Factor</t>
  </si>
  <si>
    <t xml:space="preserve">G.  CRITICAL ILLNESS &amp; PERSONAL ACCIDENT</t>
  </si>
  <si>
    <t xml:space="preserve">Critical Illness Cover Recommended</t>
  </si>
  <si>
    <t xml:space="preserve">Formula:  MIN(3 x Gross Income, ₹50L), rounded to ₹5L.  A lump sum on diagnosis - it replaces INCOME during treatment and recovery, which a hospitalisation policy does not do.</t>
  </si>
  <si>
    <t xml:space="preserve">Personal Accident Cover Recommended</t>
  </si>
  <si>
    <t xml:space="preserve">Formula:  MIN(10 x Gross Income, ₹2 Cr), rounded to ₹5L.  Insurers rarely underwrite personal accident above ~₹2 Cr.  Covers permanent/partial disability, the risk that is statistically likelier than death at age 24 and financially worse.</t>
  </si>
  <si>
    <t xml:space="preserve">Estimated Critical Illness Premium</t>
  </si>
  <si>
    <t xml:space="preserve">Formula:  (CI Cover / 100,000) x CI Rate per Lakh</t>
  </si>
  <si>
    <t xml:space="preserve">Estimated Personal Accident Premium</t>
  </si>
  <si>
    <t xml:space="preserve">Formula:  (PA Cover / 100,000) x PA Rate per Lakh</t>
  </si>
  <si>
    <t xml:space="preserve">H.  TOTAL PROTECTION COST</t>
  </si>
  <si>
    <t xml:space="preserve">TOTAL ANNUAL PREMIUM OUTGO</t>
  </si>
  <si>
    <t xml:space="preserve">Formula:  Term + Health Base + Super Top-Up + Critical Illness + Personal Accident.  This figure feeds back into the Inputs sheet and is deducted before any SIP is sized.</t>
  </si>
  <si>
    <t xml:space="preserve">Monthly Equivalent</t>
  </si>
  <si>
    <t xml:space="preserve">Formula:  Total Annual Premium / 12</t>
  </si>
  <si>
    <t xml:space="preserve">Total Premium as % of Gross Income</t>
  </si>
  <si>
    <t xml:space="preserve">Formula:  Total Premium / Gross Income.  Green under 5%, review above 7%.</t>
  </si>
  <si>
    <t xml:space="preserve">Section 80D Deduction Available (old regime)</t>
  </si>
  <si>
    <t xml:space="preserve">Formula:  MIN(health premiums, ₹25,000) for self+family under 60.  Only claimable under the OLD tax regime; ₹0 benefit under the new regime.</t>
  </si>
  <si>
    <t xml:space="preserve">I.  FUTURE HEALTH COVER REQUIREMENT  (medical inflation)</t>
  </si>
  <si>
    <t xml:space="preserve">Years From Now</t>
  </si>
  <si>
    <t xml:space="preserve">Age Then</t>
  </si>
  <si>
    <t xml:space="preserve">Cover Needed Then (₹)</t>
  </si>
  <si>
    <t xml:space="preserve">Formula:  FV(Medical Inflation, Years, 0, -Today's Total Cover).  Today's cover buys progressively less treatment; review and step up the sum insured every 5 years.</t>
  </si>
  <si>
    <t xml:space="preserve">ACTION ORDER: (1) buy the term plan today - premium is locked for life at age 24 and rises ~8-12% per year of delay; (2) buy a personal health floater independent of the employer; (3) add the super top-up; (4) add critical illness and personal accident; (5) only then start investing the surplus. Premiums shown are indicative retail estimates - replace with actual quotes. Nominate correctly and disclose everything material; a rejected claim is worse than no cover.</t>
  </si>
  <si>
    <t xml:space="preserve">3.  GOAL PLANNING  -  EMERGENCY FUND, SHORT TERM &amp; LONG TERM</t>
  </si>
  <si>
    <t xml:space="preserve">Edit the YELLOW cells only (goal name, horizon, today's cost, inflation rate, money already earmarked, expected return). Every other column is a live formula. Add rows inside the table and copy the formulas down.</t>
  </si>
  <si>
    <t xml:space="preserve">Goal</t>
  </si>
  <si>
    <t xml:space="preserve">Priority</t>
  </si>
  <si>
    <t xml:space="preserve">Years to Goal</t>
  </si>
  <si>
    <t xml:space="preserve">Cost Today (₹)</t>
  </si>
  <si>
    <t xml:space="preserve">Inflation Rate</t>
  </si>
  <si>
    <t xml:space="preserve">Future Cost at Goal Date (₹)</t>
  </si>
  <si>
    <t xml:space="preserve">Already Earmarked (₹)</t>
  </si>
  <si>
    <t xml:space="preserve">Expected Return</t>
  </si>
  <si>
    <t xml:space="preserve">FV of Earmarked (₹)</t>
  </si>
  <si>
    <t xml:space="preserve">Shortfall to Fund (₹)</t>
  </si>
  <si>
    <t xml:space="preserve">Monthly SIP Needed (₹)</t>
  </si>
  <si>
    <t xml:space="preserve">One-Time Lumpsum Today (₹)</t>
  </si>
  <si>
    <t xml:space="preserve">Emergency Fund (6 months expenses)</t>
  </si>
  <si>
    <t xml:space="preserve">Critical</t>
  </si>
  <si>
    <t xml:space="preserve">International Holiday</t>
  </si>
  <si>
    <t xml:space="preserve">Low</t>
  </si>
  <si>
    <t xml:space="preserve">Upskilling / Certification / PG</t>
  </si>
  <si>
    <t xml:space="preserve">High</t>
  </si>
  <si>
    <t xml:space="preserve">Wedding</t>
  </si>
  <si>
    <t xml:space="preserve">Car Purchase (down payment + on-road)</t>
  </si>
  <si>
    <t xml:space="preserve">Medium</t>
  </si>
  <si>
    <t xml:space="preserve">Home Down Payment (20% of ₹1.5 Cr)</t>
  </si>
  <si>
    <t xml:space="preserve">Child - Higher Education (undergrad)</t>
  </si>
  <si>
    <t xml:space="preserve">Child - Post Graduation / Abroad</t>
  </si>
  <si>
    <t xml:space="preserve">Child - Marriage</t>
  </si>
  <si>
    <t xml:space="preserve">TOTAL</t>
  </si>
  <si>
    <t xml:space="preserve">AFFORDABILITY CHECK  -  WHAT IS ACTUALLY FUNDABLE TODAY</t>
  </si>
  <si>
    <t xml:space="preserve">Monthly Investible Surplus available</t>
  </si>
  <si>
    <t xml:space="preserve">From the Inputs sheet: post-tax income less living expenses less insurance premiums.</t>
  </si>
  <si>
    <t xml:space="preserve">Monthly SIP if ALL goals ran concurrently</t>
  </si>
  <si>
    <t xml:space="preserve">Formula:  SUM of the Monthly SIP Needed column. Goals rarely all start on day one, so treat this as the ceiling, not the plan.</t>
  </si>
  <si>
    <t xml:space="preserve">Monthly SIP for CRITICAL + HIGH priority goals</t>
  </si>
  <si>
    <t xml:space="preserve">Formula:  SUMIF(priority range, "Critical", SIP range) + SUMIF(priority range, "High", SIP range).  Adds only the SIPs whose priority cell reads Critical or High. This is what starts now.</t>
  </si>
  <si>
    <t xml:space="preserve">Monthly SIP for MEDIUM + LOW priority goals (deferrable)</t>
  </si>
  <si>
    <t xml:space="preserve">Formula:  All-goals SIP - Critical &amp; High SIP. Start these as income rises or as earlier goals complete and free up their instalment.</t>
  </si>
  <si>
    <t xml:space="preserve">Monthly SIP for Retirement (step-up, year 1)</t>
  </si>
  <si>
    <t xml:space="preserve">Pulled from the Retirement sheet. Non-negotiable - it has the longest runway and the least ability to be made up later.</t>
  </si>
  <si>
    <t xml:space="preserve">COMMITTED NOW  (Critical + High goals + Retirement)</t>
  </si>
  <si>
    <t xml:space="preserve">Formula:  Critical &amp; High goal SIPs + Retirement SIP. The monthly commitment the client actually takes on today.</t>
  </si>
  <si>
    <t xml:space="preserve">Surplus / (Deficit) after what is committed now</t>
  </si>
  <si>
    <t xml:space="preserve">Formula:  Investible Surplus - Committed Now.  Positive means the plan is fundable as written. Negative means stretch a horizon, trim a goal amount, or raise income before adding anything.</t>
  </si>
  <si>
    <t xml:space="preserve">Committed as % of Investible Surplus</t>
  </si>
  <si>
    <t xml:space="preserve">Formula:  Committed Now / Investible Surplus. Anything under 100% is fundable.</t>
  </si>
  <si>
    <t xml:space="preserve">Surplus / (Deficit) if every goal ran concurrently</t>
  </si>
  <si>
    <t xml:space="preserve">Formula:  Surplus - All-goals SIP - Retirement SIP.  Usually negative, and that is the point: it is the arithmetic proof that goals must be SEQUENCED, not stacked.</t>
  </si>
  <si>
    <t xml:space="preserve">SEQUENCING NOTE: the emergency fund is a one-year push - once it is full, its entire instalment is released to the next goal. Every completed goal does the same. That rolling release, plus the 8% expected income growth on the Inputs sheet, is how the medium and low priority goals get funded without ever exceeding the surplus.</t>
  </si>
  <si>
    <t xml:space="preserve">COLUMN FORMULAS EXPLAINED</t>
  </si>
  <si>
    <t xml:space="preserve">Future Cost at Goal Date</t>
  </si>
  <si>
    <t xml:space="preserve">Formula:  FV(Inflation, Years, 0, -Cost Today)</t>
  </si>
  <si>
    <t xml:space="preserve">Compounds today's price forward at the goal's own inflation rate. Education inflates faster than groceries, so each goal carries its own rate.</t>
  </si>
  <si>
    <t xml:space="preserve">FV of Earmarked</t>
  </si>
  <si>
    <t xml:space="preserve">Formula:  FV(Expected Return, Years, 0, -Already Earmarked)</t>
  </si>
  <si>
    <t xml:space="preserve">Money already set aside for this goal keeps growing. Only the shortfall needs new money.</t>
  </si>
  <si>
    <t xml:space="preserve">Shortfall to Fund</t>
  </si>
  <si>
    <t xml:space="preserve">Formula:  MAX(0, Future Cost - FV of Earmarked)</t>
  </si>
  <si>
    <t xml:space="preserve">The real funding requirement, floored at zero so an over-funded goal does not net off against others.</t>
  </si>
  <si>
    <t xml:space="preserve">Monthly SIP Needed</t>
  </si>
  <si>
    <t xml:space="preserve">Formula:  -PMT(Return/12, Years*12, 0, Shortfall)</t>
  </si>
  <si>
    <t xml:space="preserve">The level monthly instalment whose future value equals the shortfall. Negated because PMT returns a cash OUTFLOW as a negative number.</t>
  </si>
  <si>
    <t xml:space="preserve">One-Time Lumpsum Today</t>
  </si>
  <si>
    <t xml:space="preserve">Formula:  Shortfall / (1 + Return)^Years</t>
  </si>
  <si>
    <t xml:space="preserve">The single amount invested today that grows into the shortfall. Present value of a single future sum.</t>
  </si>
  <si>
    <t xml:space="preserve">Expected Return set by horizon</t>
  </si>
  <si>
    <t xml:space="preserve">under 3 yrs 6.5-8% (liquid/arbitrage) | 3-7 yrs 9-11% (hybrid) | over 7 yrs 12% (equity)</t>
  </si>
  <si>
    <t xml:space="preserve">Never fund a goal under 3 years away with equity. The horizon dictates the asset class, and the asset class dictates the return you may assume.</t>
  </si>
  <si>
    <t xml:space="preserve">4.  RETIREMENT PLANNING  -  CORPUS REQUIRED &amp; HOW TO GET THERE</t>
  </si>
  <si>
    <t xml:space="preserve">The corpus is sized so that withdrawals RISE WITH INFLATION every single year of retirement and the money still lasts to life expectancy. That is what the real-rate annuity-due present value below does.</t>
  </si>
  <si>
    <t xml:space="preserve">A.  RETIREMENT PARAMETERS</t>
  </si>
  <si>
    <t xml:space="preserve">Retirement Age</t>
  </si>
  <si>
    <t xml:space="preserve">Years to Retirement (accumulation)</t>
  </si>
  <si>
    <t xml:space="preserve">Formula:  Retirement Age - Current Age. 36 years of compounding is the single biggest asset this client has.</t>
  </si>
  <si>
    <t xml:space="preserve">Years in Retirement (drawdown)</t>
  </si>
  <si>
    <t xml:space="preserve">Formula:  Life Expectancy - Retirement Age</t>
  </si>
  <si>
    <t xml:space="preserve">General Inflation</t>
  </si>
  <si>
    <t xml:space="preserve">Post-Retirement Return</t>
  </si>
  <si>
    <t xml:space="preserve">Real Post-Retirement Return</t>
  </si>
  <si>
    <t xml:space="preserve">Formula:  (1+Post-Ret Return)/(1+Inflation)-1.  The rate at which the corpus outgrows inflation during drawdown.</t>
  </si>
  <si>
    <t xml:space="preserve">B.  RETIREMENT EXPENSE PROJECTION</t>
  </si>
  <si>
    <t xml:space="preserve">Current Annual Household Expenses</t>
  </si>
  <si>
    <t xml:space="preserve">Retirement Expense Ratio</t>
  </si>
  <si>
    <t xml:space="preserve">Link to Inputs. Commuting, work clothes, child costs and EMIs go; healthcare and leisure rise.</t>
  </si>
  <si>
    <t xml:space="preserve">Retirement Expenses in TODAY'S money</t>
  </si>
  <si>
    <t xml:space="preserve">Formula:  Current Annual Expenses x Retirement Expense Ratio</t>
  </si>
  <si>
    <t xml:space="preserve">Annual Expenses in the FIRST year of retirement</t>
  </si>
  <si>
    <t xml:space="preserve">Formula:  FV(Inflation, Years to Retirement, 0, -Today's Retirement Expense).  This is the number that shocks clients: 36 years of 6% inflation multiplies today's cost roughly 8x.</t>
  </si>
  <si>
    <t xml:space="preserve">Monthly Expenses in the first year of retirement</t>
  </si>
  <si>
    <t xml:space="preserve">Formula:  Annual first-year retirement expense / 12</t>
  </si>
  <si>
    <t xml:space="preserve">C.  CORPUS REQUIRED AT RETIREMENT</t>
  </si>
  <si>
    <t xml:space="preserve">Corpus to Fund Inflation-Linked Living Expenses</t>
  </si>
  <si>
    <t xml:space="preserve">Formula:  PV(Real Post-Ret Return, Years in Retirement, -First-Year Expense, 0, 1).  Annuity-DUE (the trailing 1) because the year's expenses are withdrawn at the START of the year. Discounting at the REAL rate is what lets every future withdrawal rise with inflation.</t>
  </si>
  <si>
    <t xml:space="preserve">Medical Buffer (today's value)</t>
  </si>
  <si>
    <t xml:space="preserve">A ring-fenced sum for treatment not covered by insurance. Grows at MEDICAL inflation, not CPI.</t>
  </si>
  <si>
    <t xml:space="preserve">Medical Buffer at Retirement</t>
  </si>
  <si>
    <t xml:space="preserve">Formula:  FV(Medical Inflation, Years to Retirement, 0, -Medical Buffer Today)</t>
  </si>
  <si>
    <t xml:space="preserve">Legacy / Estate to Leave Behind (today's value)</t>
  </si>
  <si>
    <t xml:space="preserve">Set above zero if the client wants to bequeath a specific amount.</t>
  </si>
  <si>
    <t xml:space="preserve">Legacy at Retirement</t>
  </si>
  <si>
    <t xml:space="preserve">Formula:  FV(Inflation, Years to Retirement, 0, -Legacy Today)</t>
  </si>
  <si>
    <t xml:space="preserve">TOTAL RETIREMENT CORPUS REQUIRED</t>
  </si>
  <si>
    <t xml:space="preserve">Formula:  Living Expense Corpus + Medical Buffer + Legacy</t>
  </si>
  <si>
    <t xml:space="preserve">Corpus in TODAY'S purchasing power</t>
  </si>
  <si>
    <t xml:space="preserve">Formula:  Corpus / (1 + Inflation) ^ Years to Retirement.  Deflating the headline number back to today makes it comprehensible - the crore figure is large mostly because money shrinks.</t>
  </si>
  <si>
    <t xml:space="preserve">Cross-check: 30x First-Year Expense</t>
  </si>
  <si>
    <t xml:space="preserve">Formula:  First-Year Retirement Expense x 30.  The 3.33% safe-withdrawal thumb rule. Should land within ~15% of the PV answer; a big divergence means an assumption needs revisiting.</t>
  </si>
  <si>
    <t xml:space="preserve">Implied Initial Withdrawal Rate</t>
  </si>
  <si>
    <t xml:space="preserve">Formula:  First-Year Expense / Total Corpus.  Anything at or under 4% is historically survivable over a 25-year retirement; under 3.5% for a 25-year-plus retirement.</t>
  </si>
  <si>
    <t xml:space="preserve">D.  WHAT THE CLIENT ALREADY HAS</t>
  </si>
  <si>
    <t xml:space="preserve">Existing Corpus Available for Retirement</t>
  </si>
  <si>
    <t xml:space="preserve">Formula:  Existing Equity + Existing Debt.  Deliberately EXCLUDES the cash and FD balance, because that money is earmarked as the emergency fund on the Goals sheet and counting it twice would overstate the retirement position.</t>
  </si>
  <si>
    <t xml:space="preserve">Future Value of Existing Corpus at Retirement</t>
  </si>
  <si>
    <t xml:space="preserve">Formula:  FV(Blended Return, Years to Retirement, 0, -Existing Corpus).  Money already invested does the heavy lifting - it compounds for the full 36 years untouched.</t>
  </si>
  <si>
    <t xml:space="preserve">Expected EPF Accumulation at Retirement</t>
  </si>
  <si>
    <t xml:space="preserve">Optional. Enter the projected EPF/NPS employer-side balance at 60 if it is not already inside the Existing Corpus figure, so it is not double-counted.</t>
  </si>
  <si>
    <t xml:space="preserve">Total Expected Without New Investment</t>
  </si>
  <si>
    <t xml:space="preserve">Formula:  FV of Existing Corpus + EPF</t>
  </si>
  <si>
    <t xml:space="preserve">RETIREMENT CORPUS GAP</t>
  </si>
  <si>
    <t xml:space="preserve">Formula:  Total Corpus Required - Total Expected.  This is the amount that new monthly investing has to create.</t>
  </si>
  <si>
    <t xml:space="preserve">E.  HOW TO FUND THE GAP</t>
  </si>
  <si>
    <t xml:space="preserve">Option 1 - LEVEL Monthly SIP (never increased)</t>
  </si>
  <si>
    <t xml:space="preserve">Formula:  -PMT(Blended Return/12, Years x 12, 0, Gap).  The fixed monthly amount whose future value equals the gap. Negated because PMT returns outflows as negatives.</t>
  </si>
  <si>
    <t xml:space="preserve">Option 2 - STEP-UP SIP, year 1 monthly amount</t>
  </si>
  <si>
    <t xml:space="preserve">Formula:  Gap x (r - g) / ((1+r)^n - (1+g)^n) / 12, where r = blended return, g = step-up rate, n = years. Growing-annuity future value solved backwards for the first payment. Start lower, raise the SIP 10% each year as income grows.</t>
  </si>
  <si>
    <t xml:space="preserve">Option 3 - ONE-TIME Lumpsum Today</t>
  </si>
  <si>
    <t xml:space="preserve">Formula:  Gap / (1 + Blended Return) ^ Years.  Present value of the gap - what a single investment today would have to be.</t>
  </si>
  <si>
    <t xml:space="preserve">Level SIP as % of Monthly Investible Surplus</t>
  </si>
  <si>
    <t xml:space="preserve">Formula:  Level SIP / Monthly Surplus</t>
  </si>
  <si>
    <t xml:space="preserve">Step-Up SIP as % of Monthly Investible Surplus</t>
  </si>
  <si>
    <t xml:space="preserve">Formula:  Step-Up SIP / Monthly Surplus.  This is the recommended route - it matches rising income and frees cash today for the shorter goals.</t>
  </si>
  <si>
    <t xml:space="preserve">Total SIP over the whole accumulation period (step-up route)</t>
  </si>
  <si>
    <t xml:space="preserve">Formula:  Year-1 annual SIP x [((1+g)^n - 1) / g].  Sum of a geometric series - total money actually invested across 36 years.</t>
  </si>
  <si>
    <t xml:space="preserve">Formula:  Gap - Total Invested.  The portion of the corpus that returns produced rather than the client's savings. At a 36-year horizon this is usually 80%+ of the total - the argument for starting at 24 rather than 34.</t>
  </si>
  <si>
    <t xml:space="preserve">F.  THE COST OF DELAY</t>
  </si>
  <si>
    <t xml:space="preserve">Start Investing At Age</t>
  </si>
  <si>
    <t xml:space="preserve">Years of Compounding</t>
  </si>
  <si>
    <t xml:space="preserve">Step-Up SIP Needed (₹ p.m.)</t>
  </si>
  <si>
    <t xml:space="preserve">Same growing-annuity formula, only the number of years changes. The same target corpus, started later, costs dramatically more per month.</t>
  </si>
  <si>
    <t xml:space="preserve">CAVEAT: these are projections, not promises. A 12% equity assumption is a long-run average - real sequences include decade-long flat periods. Review the plan annually, re-run it whenever income, family size or goals change, and treat the corpus number as a direction of travel rather than a precise destination.</t>
  </si>
  <si>
    <t xml:space="preserve">5.  YEAR-BY-YEAR CORPUS PROJECTION  (accumulation then drawdown)</t>
  </si>
  <si>
    <t xml:space="preserve">Fully formula-driven off the Inputs and Retirement sheets. Two built-in reconciliations: the closing corpus in the year before retirement should match the corpus requirement on the Retirement sheet almost exactly, and the balance surviving to life expectancy should be the medical buffer and legacy still compounding, because the living-expense portion is designed to be spent down to zero. If either check drifts, an assumption has been changed inconsistently.</t>
  </si>
  <si>
    <t xml:space="preserve">Year</t>
  </si>
  <si>
    <t xml:space="preserve">Age</t>
  </si>
  <si>
    <t xml:space="preserve">Phase</t>
  </si>
  <si>
    <t xml:space="preserve">Opening Corpus (₹)</t>
  </si>
  <si>
    <t xml:space="preserve">Annual Investment (₹)</t>
  </si>
  <si>
    <t xml:space="preserve">Annual Withdrawal (₹)</t>
  </si>
  <si>
    <t xml:space="preserve">Return Rate</t>
  </si>
  <si>
    <t xml:space="preserve">Growth (₹)</t>
  </si>
  <si>
    <t xml:space="preserve">Closing Corpus (₹)</t>
  </si>
  <si>
    <t xml:space="preserve">Closing in Today's Money (₹)</t>
  </si>
  <si>
    <t xml:space="preserve">COLUMN LOGIC</t>
  </si>
  <si>
    <t xml:space="preserve">Opening Corpus</t>
  </si>
  <si>
    <t xml:space="preserve">Year 1 = existing equity + debt investments (the cash and FD balance is excluded because it is the emergency fund, not retirement money). Every later year = the previous year's Closing Corpus.</t>
  </si>
  <si>
    <t xml:space="preserve">Annual Investment</t>
  </si>
  <si>
    <t xml:space="preserve">Formula:  Year-1 Step-Up SIP x 12 x (1 + Step-Up Rate) ^ (Year - 1). Zero once age reaches the retirement age.</t>
  </si>
  <si>
    <t xml:space="preserve">Annual Withdrawal</t>
  </si>
  <si>
    <t xml:space="preserve">Formula:  First-Year Retirement Expense x (1 + Inflation) ^ (Age - Retirement Age). Zero before retirement. Withdrawals grow every year, which is the whole point.</t>
  </si>
  <si>
    <t xml:space="preserve">Formula:  Blended Pre-Retirement Return before retirement, Post-Retirement Return afterwards. Risk comes down when the salary stops.</t>
  </si>
  <si>
    <t xml:space="preserve">Growth</t>
  </si>
  <si>
    <t xml:space="preserve">Formula:  (Opening - Withdrawal) x Return Rate. Withdrawals are taken at the START of the year so they earn nothing, and the year's investment is credited at the END so it earns nothing either. This is the same timing convention the Retirement sheet solves under, which is why the two sheets agree.</t>
  </si>
  <si>
    <t xml:space="preserve">Closing Corpus</t>
  </si>
  <si>
    <t xml:space="preserve">Formula:  Opening - Withdrawal + Growth + Investment.</t>
  </si>
  <si>
    <t xml:space="preserve">Closing in Today's Money</t>
  </si>
  <si>
    <t xml:space="preserve">Formula:  Closing Corpus / (1 + Inflation) ^ Year. Strips inflation out so the numbers stay intuitive.</t>
  </si>
  <si>
    <t xml:space="preserve">6.  STANDALONE CALCULATORS  -  USE FOR ANY CLIENT, ANY SCENARIO</t>
  </si>
  <si>
    <t xml:space="preserve">These blocks are INDEPENDENT of the rest of the workbook. Type into the yellow cells and read the answer. Nothing here feeds the plan, so experiment freely.</t>
  </si>
  <si>
    <t xml:space="preserve">CALC 1  -  SIP FUTURE VALUE  (what will my monthly SIP become?)</t>
  </si>
  <si>
    <t xml:space="preserve">Monthly SIP Amount</t>
  </si>
  <si>
    <t xml:space="preserve">Your input.</t>
  </si>
  <si>
    <t xml:space="preserve">Expected Annual Return</t>
  </si>
  <si>
    <t xml:space="preserve">Investment Period</t>
  </si>
  <si>
    <t xml:space="preserve">Future Value</t>
  </si>
  <si>
    <t xml:space="preserve">Formula:  FV(Annual Return / 12, Years x 12, -Monthly SIP).  Rate and period are both converted to MONTHS because the instalment is monthly. The SIP is negative because it is cash leaving your pocket.</t>
  </si>
  <si>
    <t xml:space="preserve">Total Amount Invested</t>
  </si>
  <si>
    <t xml:space="preserve">Formula:  Monthly SIP x Years x 12</t>
  </si>
  <si>
    <t xml:space="preserve">Wealth Gained</t>
  </si>
  <si>
    <t xml:space="preserve">Formula:  Future Value - Total Invested</t>
  </si>
  <si>
    <t xml:space="preserve">Gain Multiple</t>
  </si>
  <si>
    <t xml:space="preserve">Formula:  Future Value / Total Invested</t>
  </si>
  <si>
    <t xml:space="preserve">CALC 2  -  STEP-UP SIP FUTURE VALUE  (SIP increased every year)</t>
  </si>
  <si>
    <t xml:space="preserve">Year-1 Monthly SIP</t>
  </si>
  <si>
    <t xml:space="preserve">Annual Step-Up Rate</t>
  </si>
  <si>
    <t xml:space="preserve">How much you raise the SIP each year.</t>
  </si>
  <si>
    <t xml:space="preserve">Formula:  A x [ (1+r)^n - (1+g)^n ] / (r - g), where A = year-1 ANNUAL investment, r = return, g = step-up rate, n = years.  Future value of a growing annuity. The IF handles the r = g case, where the formula would divide by zero.</t>
  </si>
  <si>
    <t xml:space="preserve">Formula:  A x [ (1+g)^n - 1 ] / g.  Sum of a geometric series - the contributions themselves, before any return.</t>
  </si>
  <si>
    <t xml:space="preserve">CALC 3  -  LUMPSUM FUTURE VALUE</t>
  </si>
  <si>
    <t xml:space="preserve">Lumpsum Invested Today</t>
  </si>
  <si>
    <t xml:space="preserve">Formula:  FV(Return, Years, 0, -Lumpsum).  Equivalent to Lumpsum x (1 + Return) ^ Years. The 0 is the payment argument: there are no recurring instalments.</t>
  </si>
  <si>
    <t xml:space="preserve">Formula:  Future Value - Amount Invested</t>
  </si>
  <si>
    <t xml:space="preserve">CALC 4  -  SIP NEEDED FOR A TARGET  (goal-based, reverse SIP)</t>
  </si>
  <si>
    <t xml:space="preserve">Target Amount (future value needed)</t>
  </si>
  <si>
    <t xml:space="preserve">Time Available</t>
  </si>
  <si>
    <t xml:space="preserve">Monthly SIP Required</t>
  </si>
  <si>
    <t xml:space="preserve">Formula:  -PMT(Return / 12, Years x 12, 0, Target).  PMT solves for the instalment that turns a present value of 0 into the target. The leading minus flips the sign from outflow to a readable positive.</t>
  </si>
  <si>
    <t xml:space="preserve">Lumpsum Required Instead</t>
  </si>
  <si>
    <t xml:space="preserve">Formula:  Target / (1 + Return) ^ Years.  Present value of the target - one payment today instead of many.</t>
  </si>
  <si>
    <t xml:space="preserve">CALC 5  -  INFLATION IMPACT  (future cost &amp; present value)</t>
  </si>
  <si>
    <t xml:space="preserve">Cost Today</t>
  </si>
  <si>
    <t xml:space="preserve">Your input. Use 10% for medical, 8% for education.</t>
  </si>
  <si>
    <t xml:space="preserve">Number of Years</t>
  </si>
  <si>
    <t xml:space="preserve">Cost After N Years</t>
  </si>
  <si>
    <t xml:space="preserve">Formula:  FV(Inflation, Years, 0, -Cost Today).  What the same basket will cost later.</t>
  </si>
  <si>
    <t xml:space="preserve">Today's Value of that Future Amount</t>
  </si>
  <si>
    <t xml:space="preserve">Formula:  Future Amount / (1 + Inflation) ^ Years.  Deflating back - this should return the Cost Today, which is the check that the two directions agree.</t>
  </si>
  <si>
    <t xml:space="preserve">Purchasing Power Lost</t>
  </si>
  <si>
    <t xml:space="preserve">Formula:  1 - 1 / (1 + Inflation) ^ Years.  The share of a rupee's buying power destroyed over the period.</t>
  </si>
  <si>
    <t xml:space="preserve">CALC 6  -  SWP / HOW LONG WILL A CORPUS LAST?</t>
  </si>
  <si>
    <t xml:space="preserve">Corpus Available</t>
  </si>
  <si>
    <t xml:space="preserve">Monthly Withdrawal</t>
  </si>
  <si>
    <t xml:space="preserve">Expected Annual Return on Corpus</t>
  </si>
  <si>
    <t xml:space="preserve">Months the Corpus Lasts</t>
  </si>
  <si>
    <t xml:space="preserve">Formula:  NPER(Return / 12, Monthly Withdrawal, -Corpus).  NPER solves for the number of periods until the balance hits zero. If the withdrawal is smaller than the return earned, the corpus never depletes and this shows 999.</t>
  </si>
  <si>
    <t xml:space="preserve">Years the Corpus Lasts</t>
  </si>
  <si>
    <t xml:space="preserve">Formula:  Months / 12</t>
  </si>
  <si>
    <t xml:space="preserve">Withdrawal Rate</t>
  </si>
  <si>
    <t xml:space="preserve">Formula:  Annual Withdrawal / Corpus.  Keep this at or under 4% for a 25-year retirement; 3-3.5% if the retirement could run 30+ years.</t>
  </si>
  <si>
    <t xml:space="preserve">CALC 7  -  LOAN EMI</t>
  </si>
  <si>
    <t xml:space="preserve">Loan Amount</t>
  </si>
  <si>
    <t xml:space="preserve">Annual Interest Rate</t>
  </si>
  <si>
    <t xml:space="preserve">Tenure</t>
  </si>
  <si>
    <t xml:space="preserve">Monthly EMI</t>
  </si>
  <si>
    <t xml:space="preserve">Formula:  -PMT(Rate / 12, Years x 12, Loan Amount).  Here the loan is the PRESENT value (money received), so PMT returns the repayment.</t>
  </si>
  <si>
    <t xml:space="preserve">Total Amount Repaid</t>
  </si>
  <si>
    <t xml:space="preserve">Formula:  EMI x Years x 12</t>
  </si>
  <si>
    <t xml:space="preserve">Total Interest Paid</t>
  </si>
  <si>
    <t xml:space="preserve">Formula:  Total Repaid - Loan Amount</t>
  </si>
  <si>
    <t xml:space="preserve">Interest as % of Loan</t>
  </si>
  <si>
    <t xml:space="preserve">Formula:  Total Interest / Loan Amount</t>
  </si>
  <si>
    <t xml:space="preserve">CALC 8  -  TIME &amp; RATE SOLVERS</t>
  </si>
  <si>
    <t xml:space="preserve">Target Amount</t>
  </si>
  <si>
    <t xml:space="preserve">Monthly SIP You Can Afford</t>
  </si>
  <si>
    <t xml:space="preserve">Years Needed to Reach the Target</t>
  </si>
  <si>
    <t xml:space="preserve">Formula:  NPER(Return / 12, -Monthly SIP, 0, Target) / 12.  Solves for TIME instead of amount.</t>
  </si>
  <si>
    <t xml:space="preserve">Years You Actually Have</t>
  </si>
  <si>
    <t xml:space="preserve">Return Required to Hit the Target in that Time</t>
  </si>
  <si>
    <t xml:space="preserve">Formula:  RATE(Years x 12, -Monthly SIP, 0, Target) x 12.  Solves for the RETURN. If this comes out above ~13-14%, the goal is not realistic - change the amount, the SIP or the timeline rather than the assumption.</t>
  </si>
  <si>
    <t xml:space="preserve">Real (Inflation-Adjusted) Return</t>
  </si>
  <si>
    <t xml:space="preserve">Formula:  (1 + Nominal Return) / (1 + 6% Inflation) - 1.  Fisher equation. Edit the 0.06 for a different inflation rate.</t>
  </si>
  <si>
    <t xml:space="preserve">Years for Money to Double</t>
  </si>
  <si>
    <t xml:space="preserve">Formula:  LOG(2) / LOG(1 + Return).  The exact version of the Rule of 72.</t>
  </si>
  <si>
    <t xml:space="preserve">SIGN CONVENTION: Excel's financial functions treat money leaving you as NEGATIVE and money coming to you as POSITIVE. That is why SIPs and lumpsums are entered with a minus sign inside FV, and why PMT results are negated to display as positive. Get the signs wrong and the answer is right in magnitude but backwards in sign.</t>
  </si>
  <si>
    <t xml:space="preserve">7.  ASSET ALLOCATION  -  CURRENT SPLIT &amp; GLIDE PATH TO RETIREMENT</t>
  </si>
  <si>
    <t xml:space="preserve">A.  RECOMMENDED ALLOCATION AT THE CLIENT'S CURRENT AGE</t>
  </si>
  <si>
    <t xml:space="preserve">Equity Allocation</t>
  </si>
  <si>
    <t xml:space="preserve">Formula:  INDEX(equity weights, MATCH(Age, age bands, 1)).  Glide path lookup on the Tables sheet.</t>
  </si>
  <si>
    <t xml:space="preserve">Debt Allocation</t>
  </si>
  <si>
    <t xml:space="preserve">Formula:  INDEX(debt weights, MATCH(Age, age bands, 1))</t>
  </si>
  <si>
    <t xml:space="preserve">Gold / Commodity Allocation</t>
  </si>
  <si>
    <t xml:space="preserve">Formula:  INDEX(gold weights, MATCH(Age, age bands, 1))</t>
  </si>
  <si>
    <t xml:space="preserve">Total</t>
  </si>
  <si>
    <t xml:space="preserve">Must equal 100%.</t>
  </si>
  <si>
    <t xml:space="preserve">B.  HOW TO SPLIT THE MONTHLY INVESTIBLE SURPLUS</t>
  </si>
  <si>
    <t xml:space="preserve">Into Equity (index + flexicap + midcap SIPs)</t>
  </si>
  <si>
    <t xml:space="preserve">Formula:  Monthly Surplus x Equity Weight</t>
  </si>
  <si>
    <t xml:space="preserve">Into Debt (EPF / PPF / short-duration &amp; corporate bond funds)</t>
  </si>
  <si>
    <t xml:space="preserve">Formula:  Monthly Surplus x Debt Weight</t>
  </si>
  <si>
    <t xml:space="preserve">Into Gold (sovereign gold / gold ETF)</t>
  </si>
  <si>
    <t xml:space="preserve">Formula:  Monthly Surplus x Gold Weight</t>
  </si>
  <si>
    <t xml:space="preserve">Total Allocated</t>
  </si>
  <si>
    <t xml:space="preserve">Formula:  Equity + Debt + Gold. Should equal the Monthly Investible Surplus.</t>
  </si>
  <si>
    <t xml:space="preserve">SEQUENCING RULE: until the emergency fund on the Goals sheet is fully built, route 100% of the surplus into liquid funds and sweep-in FDs regardless of the split above. Allocation matters only once the safety net exists.</t>
  </si>
  <si>
    <t xml:space="preserve">C.  GLIDE PATH  -  HOW THE MIX SHOULD SHIFT WITH AGE</t>
  </si>
  <si>
    <t xml:space="preserve">Equity %</t>
  </si>
  <si>
    <t xml:space="preserve">Debt %</t>
  </si>
  <si>
    <t xml:space="preserve">Gold %</t>
  </si>
  <si>
    <t xml:space="preserve">REBALANCING: check the actual portfolio against these weights once a year and after any move above 10 percentage points. Rebalancing is what mechanically enforces selling high and buying low; drift is what quietly turns a 75/25 portfolio into a 90/10 one right before it matters.</t>
  </si>
  <si>
    <t xml:space="preserve">8.  FORMULA GUIDE  -  EVERY FUNCTION AND CONCEPT USED IN THIS WORKBOOK</t>
  </si>
  <si>
    <t xml:space="preserve">PART 1  -  EXCEL FUNCTIONS</t>
  </si>
  <si>
    <t xml:space="preserve">Function</t>
  </si>
  <si>
    <t xml:space="preserve">Syntax</t>
  </si>
  <si>
    <t xml:space="preserve">What It Does (plain English)</t>
  </si>
  <si>
    <t xml:space="preserve">Used On</t>
  </si>
  <si>
    <t xml:space="preserve">FV</t>
  </si>
  <si>
    <t xml:space="preserve">FV(rate, nper, pmt, [pv], [type])</t>
  </si>
  <si>
    <t xml:space="preserve">Future Value. Grows money forward. Give it a rate per period, a number of periods, and either a recurring payment (pmt) or a starting lump (pv) - entered NEGATIVE because it is cash you part with. Returns what it becomes.</t>
  </si>
  <si>
    <t xml:space="preserve">Goals, Retirement, Insurance, Calculators</t>
  </si>
  <si>
    <t xml:space="preserve">PV</t>
  </si>
  <si>
    <t xml:space="preserve">PV(rate, nper, pmt, [fv], [type])</t>
  </si>
  <si>
    <t xml:space="preserve">Present Value. The mirror of FV - discounts a future stream back to what it is worth today. type = 1 makes it an annuity-due (cash at the START of each period), which is how retirement withdrawals and family expenses actually behave.</t>
  </si>
  <si>
    <t xml:space="preserve">Insurance (HLV), Retirement (corpus)</t>
  </si>
  <si>
    <t xml:space="preserve">PMT</t>
  </si>
  <si>
    <t xml:space="preserve">PMT(rate, nper, pv, [fv], [type])</t>
  </si>
  <si>
    <t xml:space="preserve">Payment. Solves for the level instalment. With pv = 0 and fv = target it gives the SIP needed to build a corpus; with pv = loan and fv = 0 it gives the EMI. Returns a negative number because instalments are outflows - so it is written as -PMT(...).</t>
  </si>
  <si>
    <t xml:space="preserve">Goals, Retirement, Calculators</t>
  </si>
  <si>
    <t xml:space="preserve">NPER</t>
  </si>
  <si>
    <t xml:space="preserve">NPER(rate, pmt, pv, [fv], [type])</t>
  </si>
  <si>
    <t xml:space="preserve">Number of Periods. Solves for TIME. How many months until a SIP reaches a target, or how many months a corpus survives a given withdrawal.</t>
  </si>
  <si>
    <t xml:space="preserve">Calculators 6 and 8</t>
  </si>
  <si>
    <t xml:space="preserve">RATE</t>
  </si>
  <si>
    <t xml:space="preserve">RATE(nper, pmt, pv, [fv])</t>
  </si>
  <si>
    <t xml:space="preserve">Solves for the RETURN needed to get from where you are to where you want to be in the time you have. A reality check: if it demands more than ~14% p.a., the goal itself needs to change.</t>
  </si>
  <si>
    <t xml:space="preserve">Calculator 8</t>
  </si>
  <si>
    <t xml:space="preserve">INDEX + MATCH</t>
  </si>
  <si>
    <t xml:space="preserve">INDEX(return_range, MATCH(value, lookup_range, 1))</t>
  </si>
  <si>
    <t xml:space="preserve">Age-banded table lookup. MATCH with the third argument 1 finds the largest band value that is still less than or equal to the age (so the bands must be sorted ascending); INDEX then returns the matching multiple, premium rate or asset weight.</t>
  </si>
  <si>
    <t xml:space="preserve">Insurance, Allocation</t>
  </si>
  <si>
    <t xml:space="preserve">MAX / MIN</t>
  </si>
  <si>
    <t xml:space="preserve">MAX(a, b, c) / MIN(a, b)</t>
  </si>
  <si>
    <t xml:space="preserve">Picks the largest or smallest. Used to plan to the HIGHEST of the three life cover methods, to floor shortfalls at zero, and to cap critical illness cover.</t>
  </si>
  <si>
    <t xml:space="preserve">Insurance, Goals, Retirement</t>
  </si>
  <si>
    <t xml:space="preserve">CEILING</t>
  </si>
  <si>
    <t xml:space="preserve">CEILING(number, significance)</t>
  </si>
  <si>
    <t xml:space="preserve">Rounds UP to the next multiple. Insurers sell cover in ₹5L and ₹25L slabs, so requirements are rounded up - never down.</t>
  </si>
  <si>
    <t xml:space="preserve">Insurance</t>
  </si>
  <si>
    <t xml:space="preserve">IFERROR</t>
  </si>
  <si>
    <t xml:space="preserve">IFERROR(value, value_if_error)</t>
  </si>
  <si>
    <t xml:space="preserve">Catches divide-by-zero and unsolvable cases so a blank input never turns the sheet into a wall of divide-by-zero errors.</t>
  </si>
  <si>
    <t xml:space="preserve">Throughout</t>
  </si>
  <si>
    <t xml:space="preserve">SUM</t>
  </si>
  <si>
    <t xml:space="preserve">SUM(range)</t>
  </si>
  <si>
    <t xml:space="preserve">Adds a range. Used for totals and for netting additions against deductions in the cover calculations.</t>
  </si>
  <si>
    <t xml:space="preserve">LOG</t>
  </si>
  <si>
    <t xml:space="preserve">LOG(number)</t>
  </si>
  <si>
    <t xml:space="preserve">Used as LOG(2)/LOG(1+r) to get the exact doubling period - the precise version of the Rule of 72.</t>
  </si>
  <si>
    <t xml:space="preserve">PART 2  -  PLANNING FORMULAS BUILT BY HAND</t>
  </si>
  <si>
    <t xml:space="preserve">Concept</t>
  </si>
  <si>
    <t xml:space="preserve">Formula</t>
  </si>
  <si>
    <t xml:space="preserve">Why It Is Built This Way</t>
  </si>
  <si>
    <t xml:space="preserve">Real (inflation-adjusted) return</t>
  </si>
  <si>
    <t xml:space="preserve">(1 + Nominal Return) / (1 + Inflation) - 1</t>
  </si>
  <si>
    <t xml:space="preserve">The Fisher equation. Subtracting inflation from return is an approximation that drifts badly over 30+ years. The division is exact and it is what makes long-horizon numbers trustworthy.</t>
  </si>
  <si>
    <t xml:space="preserve">Inputs, Retirement, Insurance</t>
  </si>
  <si>
    <t xml:space="preserve">Retirement corpus required</t>
  </si>
  <si>
    <t xml:space="preserve">PV(real post-ret return, years in retirement, -first-year expense, 0, 1)</t>
  </si>
  <si>
    <t xml:space="preserve">Discounting at the REAL rate is the trick: it produces a corpus that supports withdrawals RISING with inflation every year, not a flat pension that halves in purchasing power by age 72. The trailing 1 makes it an annuity-due - money is taken at the start of the year.</t>
  </si>
  <si>
    <t xml:space="preserve">Retirement</t>
  </si>
  <si>
    <t xml:space="preserve">Expense at retirement</t>
  </si>
  <si>
    <t xml:space="preserve">FV(inflation, years to retirement, 0, -today's retirement expense)</t>
  </si>
  <si>
    <t xml:space="preserve">Compounds today's cost of living forward. Over 36 years at 6%, this multiplies by roughly 8x - which is the entire reason the corpus number looks so large.</t>
  </si>
  <si>
    <t xml:space="preserve">Step-up SIP future value</t>
  </si>
  <si>
    <t xml:space="preserve">A x [ (1+r)^n - (1+g)^n ] / (r - g)</t>
  </si>
  <si>
    <t xml:space="preserve">Future value of a GROWING annuity, where A is the year-1 annual investment, g the annual step-up and r the return. Solved backwards it gives the year-1 SIP needed for a target. When r = g the denominator is zero, so the sheet substitutes A x n x (1+r)^(n-1).</t>
  </si>
  <si>
    <t xml:space="preserve">Retirement, Calculator 2</t>
  </si>
  <si>
    <t xml:space="preserve">Total invested under a step-up</t>
  </si>
  <si>
    <t xml:space="preserve">A x [ (1+g)^n - 1 ] / g</t>
  </si>
  <si>
    <t xml:space="preserve">Sum of a geometric series - the contributions alone, ignoring returns. Subtracting it from the corpus isolates how much of the wealth compounding created rather than the client.</t>
  </si>
  <si>
    <t xml:space="preserve">Human Life Value</t>
  </si>
  <si>
    <t xml:space="preserve">PV(safe real rate, working years, -income net of self-consumption) + liabilities - assets</t>
  </si>
  <si>
    <t xml:space="preserve">Discounted at a DEBT-based real rate, not an equity rate. A grieving family should not have to take market risk to make the payout last; assuming 12% would systematically under-insure them.</t>
  </si>
  <si>
    <t xml:space="preserve">Needs-based cover</t>
  </si>
  <si>
    <t xml:space="preserve">PV(family expenses over the dependency period) + liabilities + goal corpuses - existing assets</t>
  </si>
  <si>
    <t xml:space="preserve">The most accurate of the three methods because it prices what the family actually needs rather than a multiple of salary. The dependency period runs to the SPOUSE'S life expectancy, not to the earner's retirement date.</t>
  </si>
  <si>
    <t xml:space="preserve">Health cover requirement</t>
  </si>
  <si>
    <t xml:space="preserve">MAX(age benchmark, 50% of income) x city factor x family loading</t>
  </si>
  <si>
    <t xml:space="preserve">Cover has to track both the age-driven likelihood of claiming and the income-driven standard of care, then be scaled for local hospital costs and the number of people on the floater.</t>
  </si>
  <si>
    <t xml:space="preserve">Super top-up structure</t>
  </si>
  <si>
    <t xml:space="preserve">Base cover + top-up with a deductible equal to the base</t>
  </si>
  <si>
    <t xml:space="preserve">The top-up only pays above the deductible, so it is priced at roughly a quarter to a third of base rates. It is the cheapest way to get large-claim protection, and the reason ₹5L base + ₹20L top-up beats a ₹25L base policy on cost.</t>
  </si>
  <si>
    <t xml:space="preserve">Goal shortfall</t>
  </si>
  <si>
    <t xml:space="preserve">MAX(0, future cost - future value of money already earmarked)</t>
  </si>
  <si>
    <t xml:space="preserve">Floored at zero so that an over-funded goal cannot silently subsidise an under-funded one in the totals.</t>
  </si>
  <si>
    <t xml:space="preserve">Goals</t>
  </si>
  <si>
    <t xml:space="preserve">Purchasing power of a future corpus</t>
  </si>
  <si>
    <t xml:space="preserve">corpus / (1 + inflation) ^ years</t>
  </si>
  <si>
    <t xml:space="preserve">Deflates a headline crore figure back into today's rupees. Clients understand 'that is ₹1.2 crore in today's money' far better than '₹9.8 crore in 2062'.</t>
  </si>
  <si>
    <t xml:space="preserve">Retirement, Projection</t>
  </si>
  <si>
    <t xml:space="preserve">Safe withdrawal rate</t>
  </si>
  <si>
    <t xml:space="preserve">first-year withdrawal / corpus at retirement</t>
  </si>
  <si>
    <t xml:space="preserve">A cross-check on the corpus. At or under 4% is historically survivable for 25 years; a 25-year-plus retirement wants 3-3.5%. If the sheet implies 6%, the corpus is too small no matter what the PV says.</t>
  </si>
  <si>
    <t xml:space="preserve">COLOUR CONVENTION:  blue text on yellow fill = an input you edit  |  black = a formula on that sheet  |  green = a value pulled from another sheet  |  green fill = a headline recommendation</t>
  </si>
  <si>
    <t xml:space="preserve">LOOKUP TABLES  -  edit the blue cells to re-benchmark for any client</t>
  </si>
  <si>
    <t xml:space="preserve">1. Life Cover - Income Multiple Thumb Rule</t>
  </si>
  <si>
    <t xml:space="preserve">2. Term Plan - Annual Premium per ₹1 Lakh Cover</t>
  </si>
  <si>
    <t xml:space="preserve">3. Health - Base Cover Benchmark by Age</t>
  </si>
  <si>
    <t xml:space="preserve">4. Health - Annual Premium per ₹1 Lakh Cover</t>
  </si>
  <si>
    <t xml:space="preserve">Age From</t>
  </si>
  <si>
    <t xml:space="preserve">Multiple of Annual Income</t>
  </si>
  <si>
    <t xml:space="preserve">Premium per ₹1L (₹)</t>
  </si>
  <si>
    <t xml:space="preserve">Base Cover (₹)</t>
  </si>
  <si>
    <t xml:space="preserve">5. Asset Allocation Glide Path by Age</t>
  </si>
  <si>
    <t xml:space="preserve">Super top-up premium factor (x base rate per lakh)</t>
  </si>
  <si>
    <t xml:space="preserve">Critical illness premium per ₹1 lakh (₹ p.a.)</t>
  </si>
  <si>
    <t xml:space="preserve">Personal accident premium per ₹1 lakh (₹ p.a.)</t>
  </si>
  <si>
    <t xml:space="preserve">Sources / basis: multiples &amp; benchmarks are standard Indian advisory practice (IRDAI-regulated term &amp; indemnity health products). Premium rates are indicative retail quotes for a healthy non-smoker; replace with actual quotes per client.</t>
  </si>
</sst>
</file>

<file path=xl/styles.xml><?xml version="1.0" encoding="utf-8"?>
<styleSheet xmlns="http://schemas.openxmlformats.org/spreadsheetml/2006/main">
  <numFmts count="6">
    <numFmt numFmtId="164" formatCode="General"/>
    <numFmt numFmtId="165" formatCode="@"/>
    <numFmt numFmtId="166" formatCode="\₹#,##0"/>
    <numFmt numFmtId="167" formatCode="0.00%"/>
    <numFmt numFmtId="168" formatCode="#,##0"/>
    <numFmt numFmtId="169" formatCode="#,##0.0"/>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FFFFFF"/>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sz val="10"/>
      <color rgb="FF0000FF"/>
      <name val="Arial"/>
      <family val="0"/>
      <charset val="1"/>
    </font>
    <font>
      <sz val="10"/>
      <color rgb="FF000000"/>
      <name val="Arial"/>
      <family val="0"/>
      <charset val="1"/>
    </font>
    <font>
      <b val="true"/>
      <sz val="10"/>
      <color rgb="FF1F3864"/>
      <name val="Arial"/>
      <family val="0"/>
      <charset val="1"/>
    </font>
    <font>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sz val="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C8A"/>
        <bgColor rgb="FF4472C4"/>
      </patternFill>
    </fill>
    <fill>
      <patternFill patternType="solid">
        <fgColor rgb="FF4472C4"/>
        <bgColor rgb="FF4A7EBB"/>
      </patternFill>
    </fill>
    <fill>
      <patternFill patternType="solid">
        <fgColor rgb="FFD6E9C6"/>
        <bgColor rgb="FFD9D9D9"/>
      </patternFill>
    </fill>
    <fill>
      <patternFill patternType="solid">
        <fgColor rgb="FFFCE4D6"/>
        <bgColor rgb="FFEDF2F9"/>
      </patternFill>
    </fill>
    <fill>
      <patternFill patternType="solid">
        <fgColor rgb="FFEDF2F9"/>
        <bgColor rgb="FFFFFFFF"/>
      </patternFill>
    </fill>
    <fill>
      <patternFill patternType="solid">
        <fgColor rgb="FFFFFF99"/>
        <bgColor rgb="FFFCE4D6"/>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lef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6" fontId="10" fillId="5" borderId="1" xfId="0" applyFont="true" applyBorder="true" applyAlignment="true" applyProtection="false">
      <alignment horizontal="right" vertical="bottom" textRotation="0" wrapText="fals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6" fontId="10" fillId="6" borderId="1" xfId="0" applyFont="true" applyBorder="true" applyAlignment="true" applyProtection="false">
      <alignment horizontal="right" vertical="bottom" textRotation="0" wrapText="fals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xf numFmtId="166" fontId="10" fillId="7"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1" fillId="8" borderId="1" xfId="0" applyFont="true" applyBorder="true" applyAlignment="true" applyProtection="false">
      <alignment horizontal="right" vertical="bottom" textRotation="0" wrapText="false" indent="0" shrinkToFit="false"/>
      <protection locked="true" hidden="false"/>
    </xf>
    <xf numFmtId="168" fontId="11" fillId="8" borderId="1" xfId="0" applyFont="true" applyBorder="true" applyAlignment="true" applyProtection="false">
      <alignment horizontal="right" vertical="bottom" textRotation="0" wrapText="false" indent="0" shrinkToFit="false"/>
      <protection locked="true" hidden="false"/>
    </xf>
    <xf numFmtId="169" fontId="11" fillId="8" borderId="1" xfId="0" applyFont="true" applyBorder="true" applyAlignment="true" applyProtection="false">
      <alignment horizontal="right" vertical="bottom" textRotation="0" wrapText="false" indent="0" shrinkToFit="false"/>
      <protection locked="true" hidden="false"/>
    </xf>
    <xf numFmtId="166" fontId="11" fillId="8" borderId="1" xfId="0" applyFont="true" applyBorder="true" applyAlignment="true" applyProtection="false">
      <alignment horizontal="right" vertical="bottom" textRotation="0" wrapText="false" indent="0" shrinkToFit="false"/>
      <protection locked="true" hidden="false"/>
    </xf>
    <xf numFmtId="167" fontId="11" fillId="8"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9" fontId="8" fillId="0" borderId="1" xfId="0" applyFont="true" applyBorder="true" applyAlignment="true" applyProtection="false">
      <alignment horizontal="right" vertical="bottom" textRotation="0" wrapText="false" indent="0" shrinkToFit="false"/>
      <protection locked="true" hidden="false"/>
    </xf>
    <xf numFmtId="169" fontId="9"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11" fillId="8" borderId="1" xfId="0" applyFont="true" applyBorder="true" applyAlignment="true" applyProtection="false">
      <alignment horizontal="general" vertical="center" textRotation="0" wrapText="true" indent="0" shrinkToFit="false"/>
      <protection locked="true" hidden="false"/>
    </xf>
    <xf numFmtId="164" fontId="11" fillId="8" borderId="1" xfId="0" applyFont="true" applyBorder="true" applyAlignment="true" applyProtection="false">
      <alignment horizontal="center" vertical="bottom" textRotation="0" wrapText="false" indent="0" shrinkToFit="false"/>
      <protection locked="true" hidden="false"/>
    </xf>
    <xf numFmtId="168" fontId="11" fillId="8" borderId="1" xfId="0" applyFont="true" applyBorder="true" applyAlignment="true" applyProtection="false">
      <alignment horizontal="center" vertical="bottom" textRotation="0" wrapText="false" indent="0" shrinkToFit="false"/>
      <protection locked="true" hidden="false"/>
    </xf>
    <xf numFmtId="166" fontId="9" fillId="8" borderId="1" xfId="0" applyFont="true" applyBorder="true" applyAlignment="false" applyProtection="false">
      <alignment horizontal="general" vertical="bottom" textRotation="0" wrapText="false" indent="0" shrinkToFit="false"/>
      <protection locked="true" hidden="false"/>
    </xf>
    <xf numFmtId="167" fontId="9" fillId="8" borderId="1" xfId="0" applyFont="true" applyBorder="true" applyAlignment="false" applyProtection="false">
      <alignment horizontal="general" vertical="bottom" textRotation="0" wrapText="false" indent="0" shrinkToFit="false"/>
      <protection locked="true" hidden="false"/>
    </xf>
    <xf numFmtId="167" fontId="11" fillId="8" borderId="1" xfId="0" applyFont="true" applyBorder="true" applyAlignment="false" applyProtection="false">
      <alignment horizontal="general" vertical="bottom" textRotation="0" wrapText="false" indent="0" shrinkToFit="false"/>
      <protection locked="true" hidden="false"/>
    </xf>
    <xf numFmtId="166" fontId="11" fillId="8"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7" fontId="12" fillId="0" borderId="1" xfId="0" applyFont="true" applyBorder="true" applyAlignment="true" applyProtection="false">
      <alignment horizontal="center" vertical="bottom" textRotation="0" wrapText="false" indent="0" shrinkToFit="false"/>
      <protection locked="true" hidden="false"/>
    </xf>
    <xf numFmtId="168" fontId="12" fillId="7" borderId="1" xfId="0" applyFont="true" applyBorder="true" applyAlignment="false" applyProtection="false">
      <alignment horizontal="general" vertical="bottom" textRotation="0" wrapText="false" indent="0" shrinkToFit="false"/>
      <protection locked="true" hidden="false"/>
    </xf>
    <xf numFmtId="168" fontId="12" fillId="7"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66" fontId="12" fillId="7" borderId="1" xfId="0" applyFont="true" applyBorder="true" applyAlignment="false" applyProtection="false">
      <alignment horizontal="general" vertical="bottom" textRotation="0" wrapText="false" indent="0" shrinkToFit="false"/>
      <protection locked="true" hidden="false"/>
    </xf>
    <xf numFmtId="167" fontId="12" fillId="7" borderId="1" xfId="0" applyFont="true" applyBorder="true" applyAlignment="true" applyProtection="false">
      <alignment horizontal="center" vertical="bottom" textRotation="0" wrapText="false" indent="0" shrinkToFit="false"/>
      <protection locked="true" hidden="false"/>
    </xf>
    <xf numFmtId="169" fontId="10" fillId="5" borderId="1" xfId="0" applyFont="true" applyBorder="true" applyAlignment="true" applyProtection="false">
      <alignment horizontal="right" vertical="bottom" textRotation="0" wrapText="false" indent="0" shrinkToFit="false"/>
      <protection locked="true" hidden="false"/>
    </xf>
    <xf numFmtId="167" fontId="10" fillId="5"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1"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9" fontId="11" fillId="8" borderId="1" xfId="0" applyFont="true" applyBorder="true" applyAlignment="true" applyProtection="false">
      <alignment horizontal="center" vertical="bottom" textRotation="0" wrapText="false" indent="0" shrinkToFit="false"/>
      <protection locked="true" hidden="false"/>
    </xf>
    <xf numFmtId="166" fontId="11" fillId="8" borderId="1" xfId="0" applyFont="true" applyBorder="true" applyAlignment="true" applyProtection="false">
      <alignment horizontal="center" vertical="bottom" textRotation="0" wrapText="false" indent="0" shrinkToFit="false"/>
      <protection locked="true" hidden="false"/>
    </xf>
    <xf numFmtId="167" fontId="11" fillId="8"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11" fillId="8"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C6E7"/>
      <rgbColor rgb="FF878787"/>
      <rgbColor rgb="FF9999FF"/>
      <rgbColor rgb="FF993366"/>
      <rgbColor rgb="FFEDF2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6E9C6"/>
      <rgbColor rgb="FFFFFF99"/>
      <rgbColor rgb="FF99CCFF"/>
      <rgbColor rgb="FFFF99CC"/>
      <rgbColor rgb="FFCC99FF"/>
      <rgbColor rgb="FFFCE4D6"/>
      <rgbColor rgb="FF4472C4"/>
      <rgbColor rgb="FF33CCCC"/>
      <rgbColor rgb="FF99CC00"/>
      <rgbColor rgb="FFFFCC00"/>
      <rgbColor rgb="FFFF9900"/>
      <rgbColor rgb="FFFF6600"/>
      <rgbColor rgb="FF595959"/>
      <rgbColor rgb="FF969696"/>
      <rgbColor rgb="FF1F3864"/>
      <rgbColor rgb="FF4A7EBB"/>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Corpus Path: Accumulation to Drawdown</a:t>
            </a:r>
          </a:p>
        </c:rich>
      </c:tx>
      <c:overlay val="0"/>
      <c:spPr>
        <a:noFill/>
        <a:ln w="0">
          <a:noFill/>
        </a:ln>
      </c:spPr>
    </c:title>
    <c:autoTitleDeleted val="0"/>
    <c:plotArea>
      <c:lineChart>
        <c:grouping val="standard"/>
        <c:varyColors val="0"/>
        <c:ser>
          <c:idx val="0"/>
          <c:order val="0"/>
          <c:tx>
            <c:strRef>
              <c:f>Projection!I4</c:f>
              <c:strCache>
                <c:ptCount val="1"/>
                <c:pt idx="0">
                  <c:v>Closing Corpus (₹)</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Projection!$B$5:$B$76</c:f>
              <c:strCache>
                <c:ptCount val="72"/>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pt idx="39">
                  <c:v>63</c:v>
                </c:pt>
                <c:pt idx="40">
                  <c:v>64</c:v>
                </c:pt>
                <c:pt idx="41">
                  <c:v>65</c:v>
                </c:pt>
                <c:pt idx="42">
                  <c:v>66</c:v>
                </c:pt>
                <c:pt idx="43">
                  <c:v>67</c:v>
                </c:pt>
                <c:pt idx="44">
                  <c:v>68</c:v>
                </c:pt>
                <c:pt idx="45">
                  <c:v>69</c:v>
                </c:pt>
                <c:pt idx="46">
                  <c:v>70</c:v>
                </c:pt>
                <c:pt idx="47">
                  <c:v>71</c:v>
                </c:pt>
                <c:pt idx="48">
                  <c:v>72</c:v>
                </c:pt>
                <c:pt idx="49">
                  <c:v>73</c:v>
                </c:pt>
                <c:pt idx="50">
                  <c:v>74</c:v>
                </c:pt>
                <c:pt idx="51">
                  <c:v>75</c:v>
                </c:pt>
                <c:pt idx="52">
                  <c:v>76</c:v>
                </c:pt>
                <c:pt idx="53">
                  <c:v>77</c:v>
                </c:pt>
                <c:pt idx="54">
                  <c:v>78</c:v>
                </c:pt>
                <c:pt idx="55">
                  <c:v>79</c:v>
                </c:pt>
                <c:pt idx="56">
                  <c:v>80</c:v>
                </c:pt>
                <c:pt idx="57">
                  <c:v>81</c:v>
                </c:pt>
                <c:pt idx="58">
                  <c:v>82</c:v>
                </c:pt>
                <c:pt idx="59">
                  <c:v>83</c:v>
                </c:pt>
                <c:pt idx="60">
                  <c:v>84</c:v>
                </c:pt>
                <c:pt idx="61">
                  <c:v>85</c:v>
                </c:pt>
                <c:pt idx="62">
                  <c:v/>
                </c:pt>
                <c:pt idx="63">
                  <c:v/>
                </c:pt>
                <c:pt idx="64">
                  <c:v/>
                </c:pt>
                <c:pt idx="65">
                  <c:v/>
                </c:pt>
                <c:pt idx="66">
                  <c:v/>
                </c:pt>
                <c:pt idx="67">
                  <c:v/>
                </c:pt>
                <c:pt idx="68">
                  <c:v/>
                </c:pt>
                <c:pt idx="69">
                  <c:v/>
                </c:pt>
                <c:pt idx="70">
                  <c:v/>
                </c:pt>
                <c:pt idx="71">
                  <c:v/>
                </c:pt>
              </c:strCache>
            </c:strRef>
          </c:cat>
          <c:val>
            <c:numRef>
              <c:f>Projection!$I$5:$I$76</c:f>
              <c:numCache>
                <c:formatCode>\₹#,##0</c:formatCode>
                <c:ptCount val="72"/>
                <c:pt idx="0">
                  <c:v>987619.245818514</c:v>
                </c:pt>
                <c:pt idx="1">
                  <c:v>1205569.48514437</c:v>
                </c:pt>
                <c:pt idx="2">
                  <c:v>1458127.49223779</c:v>
                </c:pt>
                <c:pt idx="3">
                  <c:v>1750131.4138378</c:v>
                </c:pt>
                <c:pt idx="4">
                  <c:v>2087051.27862825</c:v>
                </c:pt>
                <c:pt idx="5">
                  <c:v>2475068.10266396</c:v>
                </c:pt>
                <c:pt idx="6">
                  <c:v>2921162.61644183</c:v>
                </c:pt>
                <c:pt idx="7">
                  <c:v>3433214.75972497</c:v>
                </c:pt>
                <c:pt idx="8">
                  <c:v>4020115.22461261</c:v>
                </c:pt>
                <c:pt idx="9">
                  <c:v>4691890.47729739</c:v>
                </c:pt>
                <c:pt idx="10">
                  <c:v>5459842.85624968</c:v>
                </c:pt>
                <c:pt idx="11">
                  <c:v>6336707.53120363</c:v>
                </c:pt>
                <c:pt idx="12">
                  <c:v>7336828.31550583</c:v>
                </c:pt>
                <c:pt idx="13">
                  <c:v>8476354.5565903</c:v>
                </c:pt>
                <c:pt idx="14">
                  <c:v>9773461.58830811</c:v>
                </c:pt>
                <c:pt idx="15">
                  <c:v>11248597.517624</c:v>
                </c:pt>
                <c:pt idx="16">
                  <c:v>12924759.4401987</c:v>
                </c:pt>
                <c:pt idx="17">
                  <c:v>14827802.5383931</c:v>
                </c:pt>
                <c:pt idx="18">
                  <c:v>16986785.9154807</c:v>
                </c:pt>
                <c:pt idx="19">
                  <c:v>19434359.4660263</c:v>
                </c:pt>
                <c:pt idx="20">
                  <c:v>22207196.5797187</c:v>
                </c:pt>
                <c:pt idx="21">
                  <c:v>25346478.0302425</c:v>
                </c:pt>
                <c:pt idx="22">
                  <c:v>28898433.018518</c:v>
                </c:pt>
                <c:pt idx="23">
                  <c:v>32914944.0280355</c:v>
                </c:pt>
                <c:pt idx="24">
                  <c:v>37454222.9170789</c:v>
                </c:pt>
                <c:pt idx="25">
                  <c:v>42581566.5272974</c:v>
                </c:pt>
                <c:pt idx="26">
                  <c:v>48370201.0402776</c:v>
                </c:pt>
                <c:pt idx="27">
                  <c:v>54902225.3745328</c:v>
                </c:pt>
                <c:pt idx="28">
                  <c:v>62269665.0969629</c:v>
                </c:pt>
                <c:pt idx="29">
                  <c:v>70575649.6390211</c:v>
                </c:pt>
                <c:pt idx="30">
                  <c:v>79935727.073764</c:v>
                </c:pt>
                <c:pt idx="31">
                  <c:v>90479332.3425965</c:v>
                </c:pt>
                <c:pt idx="32">
                  <c:v>102351426.638669</c:v>
                </c:pt>
                <c:pt idx="33">
                  <c:v>115714327.678493</c:v>
                </c:pt>
                <c:pt idx="34">
                  <c:v>130749752.847716</c:v>
                </c:pt>
                <c:pt idx="35">
                  <c:v>147661099.717008</c:v>
                </c:pt>
                <c:pt idx="36">
                  <c:v>152823832.463391</c:v>
                </c:pt>
                <c:pt idx="37">
                  <c:v>158019059.18181</c:v>
                </c:pt>
                <c:pt idx="38">
                  <c:v>163227934.26113</c:v>
                </c:pt>
                <c:pt idx="39">
                  <c:v>168428921.709841</c:v>
                </c:pt>
                <c:pt idx="40">
                  <c:v>173597516.759952</c:v>
                </c:pt>
                <c:pt idx="41">
                  <c:v>178705941.994134</c:v>
                </c:pt>
                <c:pt idx="42">
                  <c:v>183722815.80951</c:v>
                </c:pt>
                <c:pt idx="43">
                  <c:v>188612790.850989</c:v>
                </c:pt>
                <c:pt idx="44">
                  <c:v>193336159.851924</c:v>
                </c:pt>
                <c:pt idx="45">
                  <c:v>197848426.109157</c:v>
                </c:pt>
                <c:pt idx="46">
                  <c:v>202099835.591782</c:v>
                </c:pt>
                <c:pt idx="47">
                  <c:v>206034867.43707</c:v>
                </c:pt>
                <c:pt idx="48">
                  <c:v>209591679.32131</c:v>
                </c:pt>
                <c:pt idx="49">
                  <c:v>212701503.906454</c:v>
                </c:pt>
                <c:pt idx="50">
                  <c:v>215287992.253648</c:v>
                </c:pt>
                <c:pt idx="51">
                  <c:v>217266499.760133</c:v>
                </c:pt>
                <c:pt idx="52">
                  <c:v>218543309.814853</c:v>
                </c:pt>
                <c:pt idx="53">
                  <c:v>219014789.978039</c:v>
                </c:pt>
                <c:pt idx="54">
                  <c:v>218566475.069088</c:v>
                </c:pt>
                <c:pt idx="55">
                  <c:v>217072071.092528</c:v>
                </c:pt>
                <c:pt idx="56">
                  <c:v>214392373.441321</c:v>
                </c:pt>
                <c:pt idx="57">
                  <c:v>210374092.287286</c:v>
                </c:pt>
                <c:pt idx="58">
                  <c:v>204848577.496969</c:v>
                </c:pt>
                <c:pt idx="59">
                  <c:v>197630434.794667</c:v>
                </c:pt>
                <c:pt idx="60">
                  <c:v>188516024.228817</c:v>
                </c:pt>
                <c:pt idx="61">
                  <c:v>177281831.280002</c:v>
                </c:pt>
              </c:numCache>
            </c:numRef>
          </c:val>
          <c:smooth val="1"/>
        </c:ser>
        <c:hiLowLines>
          <c:spPr>
            <a:ln w="0">
              <a:noFill/>
            </a:ln>
          </c:spPr>
        </c:hiLowLines>
        <c:marker val="0"/>
        <c:axId val="72530449"/>
        <c:axId val="10241355"/>
      </c:lineChart>
      <c:catAx>
        <c:axId val="7253044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Age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241355"/>
        <c:crosses val="autoZero"/>
        <c:auto val="1"/>
        <c:lblAlgn val="ctr"/>
        <c:lblOffset val="100"/>
        <c:noMultiLvlLbl val="0"/>
      </c:catAx>
      <c:valAx>
        <c:axId val="1024135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Corpus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253044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0</xdr:rowOff>
    </xdr:from>
    <xdr:to>
      <xdr:col>23</xdr:col>
      <xdr:colOff>581760</xdr:colOff>
      <xdr:row>18</xdr:row>
      <xdr:rowOff>96480</xdr:rowOff>
    </xdr:to>
    <xdr:graphicFrame>
      <xdr:nvGraphicFramePr>
        <xdr:cNvPr id="1" name="Chart 1"/>
        <xdr:cNvGraphicFramePr/>
      </xdr:nvGraphicFramePr>
      <xdr:xfrm>
        <a:off x="11113920" y="93096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14"/>
    <col collapsed="false" customWidth="true" hidden="false" outlineLevel="0" max="4" min="4" style="0" width="74"/>
  </cols>
  <sheetData>
    <row r="1" customFormat="false" ht="25.5" hidden="false" customHeight="true" outlineLevel="0" collapsed="false">
      <c r="A1" s="1" t="s">
        <v>0</v>
      </c>
      <c r="B1" s="2"/>
      <c r="C1" s="2"/>
      <c r="D1" s="2"/>
    </row>
    <row r="3" customFormat="false" ht="27.75" hidden="false" customHeight="true" outlineLevel="0" collapsed="false">
      <c r="A3" s="3" t="s">
        <v>1</v>
      </c>
      <c r="B3" s="3"/>
      <c r="C3" s="3"/>
      <c r="D3" s="3"/>
    </row>
    <row r="5" customFormat="false" ht="19.5" hidden="false" customHeight="true" outlineLevel="0" collapsed="false">
      <c r="A5" s="4" t="s">
        <v>2</v>
      </c>
      <c r="B5" s="5"/>
      <c r="C5" s="5"/>
      <c r="D5" s="5"/>
    </row>
    <row r="6" customFormat="false" ht="15" hidden="false" customHeight="false" outlineLevel="0" collapsed="false">
      <c r="A6" s="6" t="s">
        <v>3</v>
      </c>
      <c r="B6" s="6" t="s">
        <v>4</v>
      </c>
      <c r="C6" s="6" t="s">
        <v>5</v>
      </c>
      <c r="D6" s="6" t="s">
        <v>6</v>
      </c>
    </row>
    <row r="7" customFormat="false" ht="15" hidden="false" customHeight="false" outlineLevel="0" collapsed="false">
      <c r="A7" s="7" t="s">
        <v>7</v>
      </c>
      <c r="B7" s="8" t="str">
        <f aca="false">Inputs!B7</f>
        <v>Client A</v>
      </c>
      <c r="C7" s="9"/>
      <c r="D7" s="10" t="s">
        <v>8</v>
      </c>
    </row>
    <row r="8" customFormat="false" ht="15" hidden="false" customHeight="false" outlineLevel="0" collapsed="false">
      <c r="A8" s="7" t="s">
        <v>9</v>
      </c>
      <c r="B8" s="8" t="str">
        <f aca="false">Inputs!B9&amp;" / "&amp;Inputs!B10&amp;" / "&amp;Inputs!B11</f>
        <v>24 / 60 / 85</v>
      </c>
      <c r="C8" s="9" t="s">
        <v>10</v>
      </c>
      <c r="D8" s="10" t="s">
        <v>8</v>
      </c>
    </row>
    <row r="9" customFormat="false" ht="15" hidden="false" customHeight="false" outlineLevel="0" collapsed="false">
      <c r="A9" s="7" t="s">
        <v>11</v>
      </c>
      <c r="B9" s="11" t="n">
        <f aca="false">Inputs!B18</f>
        <v>3500000</v>
      </c>
      <c r="C9" s="9" t="s">
        <v>12</v>
      </c>
      <c r="D9" s="10" t="s">
        <v>8</v>
      </c>
    </row>
    <row r="10" customFormat="false" ht="15" hidden="false" customHeight="false" outlineLevel="0" collapsed="false">
      <c r="A10" s="7" t="s">
        <v>13</v>
      </c>
      <c r="B10" s="11" t="n">
        <f aca="false">Inputs!B20</f>
        <v>2625000</v>
      </c>
      <c r="C10" s="9" t="s">
        <v>12</v>
      </c>
      <c r="D10" s="10" t="s">
        <v>14</v>
      </c>
    </row>
    <row r="11" customFormat="false" ht="15" hidden="false" customHeight="false" outlineLevel="0" collapsed="false">
      <c r="A11" s="7" t="s">
        <v>15</v>
      </c>
      <c r="B11" s="11" t="n">
        <f aca="false">Inputs!B23</f>
        <v>900000</v>
      </c>
      <c r="C11" s="9" t="s">
        <v>12</v>
      </c>
      <c r="D11" s="10" t="s">
        <v>16</v>
      </c>
    </row>
    <row r="12" customFormat="false" ht="15" hidden="false" customHeight="false" outlineLevel="0" collapsed="false">
      <c r="A12" s="7" t="s">
        <v>17</v>
      </c>
      <c r="B12" s="11" t="n">
        <f aca="false">Insurance!B78</f>
        <v>182300</v>
      </c>
      <c r="C12" s="9" t="s">
        <v>12</v>
      </c>
      <c r="D12" s="10" t="s">
        <v>18</v>
      </c>
    </row>
    <row r="13" customFormat="false" ht="15" hidden="false" customHeight="false" outlineLevel="0" collapsed="false">
      <c r="A13" s="7" t="s">
        <v>19</v>
      </c>
      <c r="B13" s="11" t="n">
        <f aca="false">Inputs!B26</f>
        <v>128558.333333333</v>
      </c>
      <c r="C13" s="9" t="s">
        <v>20</v>
      </c>
      <c r="D13" s="10" t="s">
        <v>21</v>
      </c>
    </row>
    <row r="14" customFormat="false" ht="15" hidden="false" customHeight="false" outlineLevel="0" collapsed="false">
      <c r="A14" s="7" t="s">
        <v>22</v>
      </c>
      <c r="B14" s="12" t="n">
        <f aca="false">Inputs!B27</f>
        <v>0.587695238095238</v>
      </c>
      <c r="C14" s="9" t="s">
        <v>23</v>
      </c>
      <c r="D14" s="10" t="s">
        <v>24</v>
      </c>
    </row>
    <row r="15" customFormat="false" ht="15" hidden="false" customHeight="false" outlineLevel="0" collapsed="false">
      <c r="A15" s="7" t="s">
        <v>25</v>
      </c>
      <c r="B15" s="11" t="n">
        <f aca="false">Inputs!B39</f>
        <v>1000000</v>
      </c>
      <c r="C15" s="9" t="s">
        <v>26</v>
      </c>
      <c r="D15" s="10" t="s">
        <v>27</v>
      </c>
    </row>
    <row r="17" customFormat="false" ht="19.5" hidden="false" customHeight="true" outlineLevel="0" collapsed="false">
      <c r="A17" s="4" t="s">
        <v>28</v>
      </c>
      <c r="B17" s="5"/>
      <c r="C17" s="5"/>
      <c r="D17" s="5"/>
    </row>
    <row r="18" customFormat="false" ht="15" hidden="false" customHeight="false" outlineLevel="0" collapsed="false">
      <c r="A18" s="6" t="s">
        <v>3</v>
      </c>
      <c r="B18" s="6" t="s">
        <v>4</v>
      </c>
      <c r="C18" s="6" t="s">
        <v>5</v>
      </c>
      <c r="D18" s="6" t="s">
        <v>6</v>
      </c>
    </row>
    <row r="19" customFormat="false" ht="15" hidden="false" customHeight="false" outlineLevel="0" collapsed="false">
      <c r="A19" s="7" t="s">
        <v>29</v>
      </c>
      <c r="B19" s="11" t="n">
        <f aca="false">Insurance!B48</f>
        <v>70000000</v>
      </c>
      <c r="C19" s="9" t="s">
        <v>26</v>
      </c>
      <c r="D19" s="10" t="s">
        <v>30</v>
      </c>
    </row>
    <row r="20" customFormat="false" ht="15" hidden="false" customHeight="false" outlineLevel="0" collapsed="false">
      <c r="A20" s="7" t="s">
        <v>31</v>
      </c>
      <c r="B20" s="13" t="n">
        <f aca="false">Insurance!B49</f>
        <v>46</v>
      </c>
      <c r="C20" s="9" t="s">
        <v>10</v>
      </c>
      <c r="D20" s="10" t="s">
        <v>32</v>
      </c>
    </row>
    <row r="21" customFormat="false" ht="15" hidden="false" customHeight="false" outlineLevel="0" collapsed="false">
      <c r="A21" s="7" t="s">
        <v>33</v>
      </c>
      <c r="B21" s="11" t="n">
        <f aca="false">Insurance!B51</f>
        <v>73500</v>
      </c>
      <c r="C21" s="9" t="s">
        <v>12</v>
      </c>
      <c r="D21" s="10" t="s">
        <v>34</v>
      </c>
    </row>
    <row r="22" customFormat="false" ht="15" hidden="false" customHeight="false" outlineLevel="0" collapsed="false">
      <c r="A22" s="7" t="s">
        <v>35</v>
      </c>
      <c r="B22" s="11" t="n">
        <f aca="false">Insurance!B60</f>
        <v>3000000</v>
      </c>
      <c r="C22" s="9" t="s">
        <v>26</v>
      </c>
      <c r="D22" s="10" t="s">
        <v>36</v>
      </c>
    </row>
    <row r="23" customFormat="false" ht="15" hidden="false" customHeight="false" outlineLevel="0" collapsed="false">
      <c r="A23" s="7" t="s">
        <v>37</v>
      </c>
      <c r="B23" s="11" t="n">
        <f aca="false">Insurance!B61</f>
        <v>9000000</v>
      </c>
      <c r="C23" s="9" t="s">
        <v>26</v>
      </c>
      <c r="D23" s="10" t="s">
        <v>38</v>
      </c>
    </row>
    <row r="24" customFormat="false" ht="15" hidden="false" customHeight="false" outlineLevel="0" collapsed="false">
      <c r="A24" s="7" t="s">
        <v>39</v>
      </c>
      <c r="B24" s="11" t="n">
        <f aca="false">Insurance!B62</f>
        <v>12000000</v>
      </c>
      <c r="C24" s="9" t="s">
        <v>26</v>
      </c>
      <c r="D24" s="10" t="s">
        <v>40</v>
      </c>
    </row>
    <row r="25" customFormat="false" ht="15" hidden="false" customHeight="false" outlineLevel="0" collapsed="false">
      <c r="A25" s="7" t="s">
        <v>41</v>
      </c>
      <c r="B25" s="11" t="n">
        <f aca="false">Insurance!B71</f>
        <v>5000000</v>
      </c>
      <c r="C25" s="9" t="s">
        <v>26</v>
      </c>
      <c r="D25" s="10" t="s">
        <v>42</v>
      </c>
    </row>
    <row r="26" customFormat="false" ht="15" hidden="false" customHeight="false" outlineLevel="0" collapsed="false">
      <c r="A26" s="7" t="s">
        <v>43</v>
      </c>
      <c r="B26" s="11" t="n">
        <f aca="false">Insurance!B72</f>
        <v>20000000</v>
      </c>
      <c r="C26" s="9" t="s">
        <v>26</v>
      </c>
      <c r="D26" s="10" t="s">
        <v>44</v>
      </c>
    </row>
    <row r="27" customFormat="false" ht="15" hidden="false" customHeight="false" outlineLevel="0" collapsed="false">
      <c r="A27" s="14" t="s">
        <v>45</v>
      </c>
      <c r="B27" s="15" t="n">
        <f aca="false">Insurance!B78</f>
        <v>182300</v>
      </c>
      <c r="C27" s="9" t="s">
        <v>12</v>
      </c>
      <c r="D27" s="10" t="s">
        <v>46</v>
      </c>
    </row>
    <row r="28" customFormat="false" ht="15" hidden="false" customHeight="false" outlineLevel="0" collapsed="false">
      <c r="A28" s="7" t="s">
        <v>47</v>
      </c>
      <c r="B28" s="12" t="n">
        <f aca="false">Insurance!B80</f>
        <v>0.0520857142857143</v>
      </c>
      <c r="C28" s="9" t="s">
        <v>23</v>
      </c>
      <c r="D28" s="10" t="s">
        <v>48</v>
      </c>
    </row>
    <row r="30" customFormat="false" ht="19.5" hidden="false" customHeight="true" outlineLevel="0" collapsed="false">
      <c r="A30" s="4" t="s">
        <v>49</v>
      </c>
      <c r="B30" s="5"/>
      <c r="C30" s="5"/>
      <c r="D30" s="5"/>
    </row>
    <row r="31" customFormat="false" ht="15" hidden="false" customHeight="false" outlineLevel="0" collapsed="false">
      <c r="A31" s="6" t="s">
        <v>3</v>
      </c>
      <c r="B31" s="6" t="s">
        <v>4</v>
      </c>
      <c r="C31" s="6" t="s">
        <v>5</v>
      </c>
      <c r="D31" s="6" t="s">
        <v>6</v>
      </c>
    </row>
    <row r="32" customFormat="false" ht="15" hidden="false" customHeight="false" outlineLevel="0" collapsed="false">
      <c r="A32" s="7" t="s">
        <v>50</v>
      </c>
      <c r="B32" s="11" t="n">
        <f aca="false">Inputs!B22*Inputs!B64</f>
        <v>450000</v>
      </c>
      <c r="C32" s="9" t="s">
        <v>26</v>
      </c>
      <c r="D32" s="10" t="s">
        <v>51</v>
      </c>
    </row>
    <row r="33" customFormat="false" ht="15" hidden="false" customHeight="false" outlineLevel="0" collapsed="false">
      <c r="A33" s="7" t="s">
        <v>52</v>
      </c>
      <c r="B33" s="11" t="n">
        <f aca="false">Goals!$J$17</f>
        <v>71736592.7917682</v>
      </c>
      <c r="C33" s="9" t="s">
        <v>26</v>
      </c>
      <c r="D33" s="10" t="s">
        <v>53</v>
      </c>
    </row>
    <row r="34" customFormat="false" ht="15" hidden="false" customHeight="false" outlineLevel="0" collapsed="false">
      <c r="A34" s="14" t="s">
        <v>54</v>
      </c>
      <c r="B34" s="15" t="n">
        <f aca="false">Goals!$K$17</f>
        <v>149116.281431154</v>
      </c>
      <c r="C34" s="9" t="s">
        <v>20</v>
      </c>
      <c r="D34" s="10" t="s">
        <v>55</v>
      </c>
    </row>
    <row r="36" customFormat="false" ht="19.5" hidden="false" customHeight="true" outlineLevel="0" collapsed="false">
      <c r="A36" s="4" t="s">
        <v>56</v>
      </c>
      <c r="B36" s="5"/>
      <c r="C36" s="5"/>
      <c r="D36" s="5"/>
    </row>
    <row r="37" customFormat="false" ht="15" hidden="false" customHeight="false" outlineLevel="0" collapsed="false">
      <c r="A37" s="6" t="s">
        <v>3</v>
      </c>
      <c r="B37" s="6" t="s">
        <v>4</v>
      </c>
      <c r="C37" s="6" t="s">
        <v>5</v>
      </c>
      <c r="D37" s="6" t="s">
        <v>6</v>
      </c>
    </row>
    <row r="38" customFormat="false" ht="15" hidden="false" customHeight="false" outlineLevel="0" collapsed="false">
      <c r="A38" s="7" t="s">
        <v>57</v>
      </c>
      <c r="B38" s="13" t="n">
        <f aca="false">Inputs!B60</f>
        <v>36</v>
      </c>
      <c r="C38" s="9" t="s">
        <v>10</v>
      </c>
      <c r="D38" s="10" t="s">
        <v>58</v>
      </c>
    </row>
    <row r="39" customFormat="false" ht="15" hidden="false" customHeight="false" outlineLevel="0" collapsed="false">
      <c r="A39" s="7" t="s">
        <v>59</v>
      </c>
      <c r="B39" s="11" t="n">
        <f aca="false">Retirement!B23</f>
        <v>5499395.09989949</v>
      </c>
      <c r="C39" s="9" t="s">
        <v>12</v>
      </c>
      <c r="D39" s="10" t="s">
        <v>60</v>
      </c>
    </row>
    <row r="40" customFormat="false" ht="15" hidden="false" customHeight="false" outlineLevel="0" collapsed="false">
      <c r="A40" s="14" t="s">
        <v>61</v>
      </c>
      <c r="B40" s="15" t="n">
        <f aca="false">Retirement!B33</f>
        <v>147661099.717005</v>
      </c>
      <c r="C40" s="9" t="s">
        <v>26</v>
      </c>
      <c r="D40" s="10" t="s">
        <v>62</v>
      </c>
    </row>
    <row r="41" customFormat="false" ht="15" hidden="false" customHeight="false" outlineLevel="0" collapsed="false">
      <c r="A41" s="7" t="s">
        <v>63</v>
      </c>
      <c r="B41" s="11" t="n">
        <f aca="false">Retirement!B34</f>
        <v>18124037.371092</v>
      </c>
      <c r="C41" s="9" t="s">
        <v>26</v>
      </c>
      <c r="D41" s="10" t="s">
        <v>64</v>
      </c>
    </row>
    <row r="42" customFormat="false" ht="15" hidden="false" customHeight="false" outlineLevel="0" collapsed="false">
      <c r="A42" s="7" t="s">
        <v>65</v>
      </c>
      <c r="B42" s="11" t="n">
        <f aca="false">Retirement!B41</f>
        <v>31583804.5326692</v>
      </c>
      <c r="C42" s="9" t="s">
        <v>26</v>
      </c>
      <c r="D42" s="10" t="s">
        <v>66</v>
      </c>
    </row>
    <row r="43" customFormat="false" ht="15" hidden="false" customHeight="false" outlineLevel="0" collapsed="false">
      <c r="A43" s="16" t="s">
        <v>67</v>
      </c>
      <c r="B43" s="17" t="n">
        <f aca="false">Retirement!B44</f>
        <v>116077295.184336</v>
      </c>
      <c r="C43" s="9" t="s">
        <v>26</v>
      </c>
      <c r="D43" s="10" t="s">
        <v>68</v>
      </c>
    </row>
    <row r="44" customFormat="false" ht="15" hidden="false" customHeight="false" outlineLevel="0" collapsed="false">
      <c r="A44" s="7" t="s">
        <v>69</v>
      </c>
      <c r="B44" s="11" t="n">
        <f aca="false">Retirement!B48</f>
        <v>22545.1812636349</v>
      </c>
      <c r="C44" s="9" t="s">
        <v>20</v>
      </c>
      <c r="D44" s="10" t="s">
        <v>70</v>
      </c>
    </row>
    <row r="45" customFormat="false" ht="15" hidden="false" customHeight="false" outlineLevel="0" collapsed="false">
      <c r="A45" s="14" t="s">
        <v>71</v>
      </c>
      <c r="B45" s="15" t="n">
        <f aca="false">Retirement!B49</f>
        <v>8468.27048487619</v>
      </c>
      <c r="C45" s="9" t="s">
        <v>20</v>
      </c>
      <c r="D45" s="10" t="s">
        <v>72</v>
      </c>
    </row>
    <row r="46" customFormat="false" ht="15" hidden="false" customHeight="false" outlineLevel="0" collapsed="false">
      <c r="A46" s="7" t="s">
        <v>73</v>
      </c>
      <c r="B46" s="11" t="n">
        <f aca="false">Retirement!B50</f>
        <v>2940172.58280002</v>
      </c>
      <c r="C46" s="9" t="s">
        <v>26</v>
      </c>
      <c r="D46" s="10" t="s">
        <v>74</v>
      </c>
    </row>
    <row r="47" customFormat="false" ht="15" hidden="false" customHeight="false" outlineLevel="0" collapsed="false">
      <c r="A47" s="7" t="s">
        <v>75</v>
      </c>
      <c r="B47" s="11" t="n">
        <f aca="false">Retirement!B54</f>
        <v>85680254.8227313</v>
      </c>
      <c r="C47" s="9" t="s">
        <v>26</v>
      </c>
      <c r="D47" s="10" t="s">
        <v>76</v>
      </c>
    </row>
    <row r="49" customFormat="false" ht="19.5" hidden="false" customHeight="true" outlineLevel="0" collapsed="false">
      <c r="A49" s="4" t="s">
        <v>77</v>
      </c>
      <c r="B49" s="5"/>
      <c r="C49" s="5"/>
      <c r="D49" s="5"/>
    </row>
    <row r="50" customFormat="false" ht="15" hidden="false" customHeight="false" outlineLevel="0" collapsed="false">
      <c r="A50" s="6" t="s">
        <v>3</v>
      </c>
      <c r="B50" s="6" t="s">
        <v>4</v>
      </c>
      <c r="C50" s="6" t="s">
        <v>5</v>
      </c>
      <c r="D50" s="6" t="s">
        <v>6</v>
      </c>
    </row>
    <row r="51" customFormat="false" ht="15" hidden="false" customHeight="false" outlineLevel="0" collapsed="false">
      <c r="A51" s="7" t="s">
        <v>78</v>
      </c>
      <c r="B51" s="11" t="n">
        <f aca="false">Allocation!B15</f>
        <v>96418.75</v>
      </c>
      <c r="C51" s="9" t="s">
        <v>20</v>
      </c>
      <c r="D51" s="10" t="s">
        <v>79</v>
      </c>
    </row>
    <row r="52" customFormat="false" ht="15" hidden="false" customHeight="false" outlineLevel="0" collapsed="false">
      <c r="A52" s="7" t="s">
        <v>80</v>
      </c>
      <c r="B52" s="11" t="n">
        <f aca="false">Allocation!B16</f>
        <v>19283.75</v>
      </c>
      <c r="C52" s="9" t="s">
        <v>20</v>
      </c>
      <c r="D52" s="10" t="s">
        <v>81</v>
      </c>
    </row>
    <row r="53" customFormat="false" ht="15" hidden="false" customHeight="false" outlineLevel="0" collapsed="false">
      <c r="A53" s="7" t="s">
        <v>82</v>
      </c>
      <c r="B53" s="11" t="n">
        <f aca="false">Allocation!B17</f>
        <v>12855.8333333333</v>
      </c>
      <c r="C53" s="9" t="s">
        <v>20</v>
      </c>
      <c r="D53" s="10" t="s">
        <v>83</v>
      </c>
    </row>
    <row r="55" customFormat="false" ht="19.5" hidden="false" customHeight="true" outlineLevel="0" collapsed="false">
      <c r="A55" s="4" t="s">
        <v>84</v>
      </c>
      <c r="B55" s="5"/>
      <c r="C55" s="5"/>
      <c r="D55" s="5"/>
    </row>
    <row r="56" customFormat="false" ht="15" hidden="false" customHeight="false" outlineLevel="0" collapsed="false">
      <c r="A56" s="6" t="s">
        <v>3</v>
      </c>
      <c r="B56" s="6" t="s">
        <v>4</v>
      </c>
      <c r="C56" s="6" t="s">
        <v>5</v>
      </c>
      <c r="D56" s="6" t="s">
        <v>6</v>
      </c>
    </row>
    <row r="57" customFormat="false" ht="15" hidden="false" customHeight="false" outlineLevel="0" collapsed="false">
      <c r="A57" s="7" t="s">
        <v>19</v>
      </c>
      <c r="B57" s="11" t="n">
        <f aca="false">Inputs!B26</f>
        <v>128558.333333333</v>
      </c>
      <c r="C57" s="9" t="s">
        <v>20</v>
      </c>
      <c r="D57" s="10" t="s">
        <v>85</v>
      </c>
    </row>
    <row r="58" customFormat="false" ht="15" hidden="false" customHeight="false" outlineLevel="0" collapsed="false">
      <c r="A58" s="7" t="s">
        <v>86</v>
      </c>
      <c r="B58" s="11" t="n">
        <f aca="false">Goals!B25</f>
        <v>114624.516605266</v>
      </c>
      <c r="C58" s="9" t="s">
        <v>20</v>
      </c>
      <c r="D58" s="10" t="s">
        <v>87</v>
      </c>
    </row>
    <row r="59" customFormat="false" ht="22.35" hidden="false" customHeight="false" outlineLevel="0" collapsed="false">
      <c r="A59" s="18" t="s">
        <v>88</v>
      </c>
      <c r="B59" s="19" t="n">
        <f aca="false">B57-B58</f>
        <v>13933.8167280678</v>
      </c>
      <c r="C59" s="9" t="s">
        <v>20</v>
      </c>
      <c r="D59" s="10" t="s">
        <v>89</v>
      </c>
    </row>
    <row r="60" customFormat="false" ht="15" hidden="false" customHeight="false" outlineLevel="0" collapsed="false">
      <c r="A60" s="7" t="s">
        <v>90</v>
      </c>
      <c r="B60" s="20" t="n">
        <f aca="false">IFERROR(B58/B57,0)</f>
        <v>0.891614830662596</v>
      </c>
      <c r="C60" s="9" t="s">
        <v>23</v>
      </c>
      <c r="D60" s="10" t="s">
        <v>91</v>
      </c>
    </row>
    <row r="61" customFormat="false" ht="22.35" hidden="false" customHeight="false" outlineLevel="0" collapsed="false">
      <c r="A61" s="7" t="s">
        <v>92</v>
      </c>
      <c r="B61" s="11" t="n">
        <f aca="false">Goals!B23</f>
        <v>42960.0353107648</v>
      </c>
      <c r="C61" s="9" t="s">
        <v>20</v>
      </c>
      <c r="D61" s="10" t="s">
        <v>93</v>
      </c>
    </row>
    <row r="63" customFormat="false" ht="19.5" hidden="false" customHeight="true" outlineLevel="0" collapsed="false">
      <c r="A63" s="4" t="s">
        <v>94</v>
      </c>
      <c r="B63" s="5"/>
      <c r="C63" s="5"/>
      <c r="D63" s="5"/>
    </row>
    <row r="64" customFormat="false" ht="27.75" hidden="false" customHeight="true" outlineLevel="0" collapsed="false">
      <c r="A64" s="21" t="s">
        <v>95</v>
      </c>
      <c r="B64" s="22"/>
      <c r="C64" s="22"/>
      <c r="D64" s="10" t="s">
        <v>96</v>
      </c>
    </row>
    <row r="65" customFormat="false" ht="27.75" hidden="false" customHeight="true" outlineLevel="0" collapsed="false">
      <c r="A65" s="21" t="s">
        <v>97</v>
      </c>
      <c r="B65" s="22"/>
      <c r="C65" s="22"/>
      <c r="D65" s="10" t="s">
        <v>98</v>
      </c>
    </row>
    <row r="66" customFormat="false" ht="27.75" hidden="false" customHeight="true" outlineLevel="0" collapsed="false">
      <c r="A66" s="21" t="s">
        <v>99</v>
      </c>
      <c r="B66" s="22"/>
      <c r="C66" s="22"/>
      <c r="D66" s="10" t="s">
        <v>100</v>
      </c>
    </row>
    <row r="67" customFormat="false" ht="27.75" hidden="false" customHeight="true" outlineLevel="0" collapsed="false">
      <c r="A67" s="21" t="s">
        <v>101</v>
      </c>
      <c r="B67" s="22"/>
      <c r="C67" s="22"/>
      <c r="D67" s="10" t="s">
        <v>102</v>
      </c>
    </row>
    <row r="68" customFormat="false" ht="27.75" hidden="false" customHeight="true" outlineLevel="0" collapsed="false">
      <c r="A68" s="21" t="s">
        <v>103</v>
      </c>
      <c r="B68" s="22"/>
      <c r="C68" s="22"/>
      <c r="D68" s="10" t="s">
        <v>104</v>
      </c>
    </row>
    <row r="69" customFormat="false" ht="27.75" hidden="false" customHeight="true" outlineLevel="0" collapsed="false">
      <c r="A69" s="21" t="s">
        <v>105</v>
      </c>
      <c r="B69" s="22"/>
      <c r="C69" s="22"/>
      <c r="D69" s="10" t="s">
        <v>106</v>
      </c>
    </row>
    <row r="70" customFormat="false" ht="27.75" hidden="false" customHeight="true" outlineLevel="0" collapsed="false">
      <c r="A70" s="21" t="s">
        <v>107</v>
      </c>
      <c r="B70" s="22"/>
      <c r="C70" s="22"/>
      <c r="D70" s="10" t="s">
        <v>108</v>
      </c>
    </row>
    <row r="71" customFormat="false" ht="27.75" hidden="false" customHeight="true" outlineLevel="0" collapsed="false">
      <c r="A71" s="21" t="s">
        <v>109</v>
      </c>
      <c r="B71" s="22"/>
      <c r="C71" s="22"/>
      <c r="D71" s="10" t="s">
        <v>110</v>
      </c>
    </row>
    <row r="72" customFormat="false" ht="27.75" hidden="false" customHeight="true" outlineLevel="0" collapsed="false">
      <c r="A72" s="21" t="s">
        <v>111</v>
      </c>
      <c r="B72" s="22"/>
      <c r="C72" s="22"/>
      <c r="D72" s="10" t="s">
        <v>112</v>
      </c>
    </row>
    <row r="74" customFormat="false" ht="27.75" hidden="false" customHeight="true" outlineLevel="0" collapsed="false">
      <c r="A74" s="3" t="s">
        <v>113</v>
      </c>
      <c r="B74" s="3"/>
      <c r="C74" s="3"/>
      <c r="D74" s="3"/>
    </row>
  </sheetData>
  <mergeCells count="2">
    <mergeCell ref="A3:D3"/>
    <mergeCell ref="A74:D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4"/>
    <col collapsed="false" customWidth="true" hidden="false" outlineLevel="0" max="4" min="4" style="0" width="78"/>
  </cols>
  <sheetData>
    <row r="1" customFormat="false" ht="25.5" hidden="false" customHeight="true" outlineLevel="0" collapsed="false">
      <c r="A1" s="1" t="s">
        <v>114</v>
      </c>
      <c r="B1" s="2"/>
      <c r="C1" s="2"/>
      <c r="D1" s="2"/>
    </row>
    <row r="3" customFormat="false" ht="27.75" hidden="false" customHeight="true" outlineLevel="0" collapsed="false">
      <c r="A3" s="3" t="s">
        <v>115</v>
      </c>
      <c r="B3" s="3"/>
      <c r="C3" s="3"/>
      <c r="D3" s="3"/>
    </row>
    <row r="5" customFormat="false" ht="19.5" hidden="false" customHeight="true" outlineLevel="0" collapsed="false">
      <c r="A5" s="4" t="s">
        <v>116</v>
      </c>
      <c r="B5" s="5"/>
      <c r="C5" s="5"/>
      <c r="D5" s="5"/>
    </row>
    <row r="6" customFormat="false" ht="15" hidden="false" customHeight="false" outlineLevel="0" collapsed="false">
      <c r="A6" s="6" t="s">
        <v>117</v>
      </c>
      <c r="B6" s="6" t="s">
        <v>4</v>
      </c>
      <c r="C6" s="6" t="s">
        <v>5</v>
      </c>
      <c r="D6" s="6" t="s">
        <v>118</v>
      </c>
    </row>
    <row r="7" customFormat="false" ht="15" hidden="false" customHeight="false" outlineLevel="0" collapsed="false">
      <c r="A7" s="7" t="s">
        <v>119</v>
      </c>
      <c r="B7" s="23" t="s">
        <v>120</v>
      </c>
      <c r="C7" s="9" t="s">
        <v>121</v>
      </c>
      <c r="D7" s="10" t="s">
        <v>122</v>
      </c>
    </row>
    <row r="8" customFormat="false" ht="15" hidden="false" customHeight="false" outlineLevel="0" collapsed="false">
      <c r="A8" s="7" t="s">
        <v>123</v>
      </c>
      <c r="B8" s="23" t="s">
        <v>124</v>
      </c>
      <c r="C8" s="9" t="s">
        <v>121</v>
      </c>
      <c r="D8" s="10" t="s">
        <v>125</v>
      </c>
    </row>
    <row r="9" customFormat="false" ht="15" hidden="false" customHeight="false" outlineLevel="0" collapsed="false">
      <c r="A9" s="7" t="s">
        <v>126</v>
      </c>
      <c r="B9" s="24" t="n">
        <v>24</v>
      </c>
      <c r="C9" s="9" t="s">
        <v>10</v>
      </c>
      <c r="D9" s="10" t="s">
        <v>127</v>
      </c>
    </row>
    <row r="10" customFormat="false" ht="15" hidden="false" customHeight="false" outlineLevel="0" collapsed="false">
      <c r="A10" s="7" t="s">
        <v>128</v>
      </c>
      <c r="B10" s="24" t="n">
        <v>60</v>
      </c>
      <c r="C10" s="9" t="s">
        <v>10</v>
      </c>
      <c r="D10" s="10" t="s">
        <v>129</v>
      </c>
    </row>
    <row r="11" customFormat="false" ht="15" hidden="false" customHeight="false" outlineLevel="0" collapsed="false">
      <c r="A11" s="7" t="s">
        <v>130</v>
      </c>
      <c r="B11" s="24" t="n">
        <v>85</v>
      </c>
      <c r="C11" s="9" t="s">
        <v>10</v>
      </c>
      <c r="D11" s="10" t="s">
        <v>131</v>
      </c>
    </row>
    <row r="12" customFormat="false" ht="15" hidden="false" customHeight="false" outlineLevel="0" collapsed="false">
      <c r="A12" s="7" t="s">
        <v>132</v>
      </c>
      <c r="B12" s="24" t="n">
        <v>2</v>
      </c>
      <c r="C12" s="9" t="s">
        <v>133</v>
      </c>
      <c r="D12" s="10" t="s">
        <v>134</v>
      </c>
    </row>
    <row r="13" customFormat="false" ht="15" hidden="false" customHeight="false" outlineLevel="0" collapsed="false">
      <c r="A13" s="7" t="s">
        <v>135</v>
      </c>
      <c r="B13" s="24" t="n">
        <v>3</v>
      </c>
      <c r="C13" s="9" t="s">
        <v>133</v>
      </c>
      <c r="D13" s="10" t="s">
        <v>136</v>
      </c>
    </row>
    <row r="14" customFormat="false" ht="22.35" hidden="false" customHeight="false" outlineLevel="0" collapsed="false">
      <c r="A14" s="7" t="s">
        <v>137</v>
      </c>
      <c r="B14" s="25" t="n">
        <v>1</v>
      </c>
      <c r="C14" s="9" t="s">
        <v>138</v>
      </c>
      <c r="D14" s="10" t="s">
        <v>139</v>
      </c>
    </row>
    <row r="16" customFormat="false" ht="19.5" hidden="false" customHeight="true" outlineLevel="0" collapsed="false">
      <c r="A16" s="4" t="s">
        <v>140</v>
      </c>
      <c r="B16" s="5"/>
      <c r="C16" s="5"/>
      <c r="D16" s="5"/>
    </row>
    <row r="17" customFormat="false" ht="15" hidden="false" customHeight="false" outlineLevel="0" collapsed="false">
      <c r="A17" s="6" t="s">
        <v>117</v>
      </c>
      <c r="B17" s="6" t="s">
        <v>4</v>
      </c>
      <c r="C17" s="6" t="s">
        <v>5</v>
      </c>
      <c r="D17" s="6" t="s">
        <v>118</v>
      </c>
    </row>
    <row r="18" customFormat="false" ht="15" hidden="false" customHeight="false" outlineLevel="0" collapsed="false">
      <c r="A18" s="7" t="s">
        <v>11</v>
      </c>
      <c r="B18" s="26" t="n">
        <v>3500000</v>
      </c>
      <c r="C18" s="9" t="s">
        <v>12</v>
      </c>
      <c r="D18" s="10" t="s">
        <v>141</v>
      </c>
    </row>
    <row r="19" customFormat="false" ht="15" hidden="false" customHeight="false" outlineLevel="0" collapsed="false">
      <c r="A19" s="7" t="s">
        <v>142</v>
      </c>
      <c r="B19" s="27" t="n">
        <v>0.25</v>
      </c>
      <c r="C19" s="9" t="s">
        <v>23</v>
      </c>
      <c r="D19" s="10" t="s">
        <v>143</v>
      </c>
    </row>
    <row r="20" customFormat="false" ht="15" hidden="false" customHeight="false" outlineLevel="0" collapsed="false">
      <c r="A20" s="7" t="s">
        <v>13</v>
      </c>
      <c r="B20" s="28" t="n">
        <f aca="false">B18*(1-B19)</f>
        <v>2625000</v>
      </c>
      <c r="C20" s="9" t="s">
        <v>12</v>
      </c>
      <c r="D20" s="10" t="s">
        <v>144</v>
      </c>
    </row>
    <row r="21" customFormat="false" ht="15" hidden="false" customHeight="false" outlineLevel="0" collapsed="false">
      <c r="A21" s="7" t="s">
        <v>145</v>
      </c>
      <c r="B21" s="28" t="n">
        <f aca="false">B20/12</f>
        <v>218750</v>
      </c>
      <c r="C21" s="9" t="s">
        <v>20</v>
      </c>
      <c r="D21" s="10" t="s">
        <v>146</v>
      </c>
    </row>
    <row r="22" customFormat="false" ht="15" hidden="false" customHeight="false" outlineLevel="0" collapsed="false">
      <c r="A22" s="7" t="s">
        <v>147</v>
      </c>
      <c r="B22" s="26" t="n">
        <v>75000</v>
      </c>
      <c r="C22" s="9" t="s">
        <v>20</v>
      </c>
      <c r="D22" s="10" t="s">
        <v>148</v>
      </c>
    </row>
    <row r="23" customFormat="false" ht="15" hidden="false" customHeight="false" outlineLevel="0" collapsed="false">
      <c r="A23" s="7" t="s">
        <v>149</v>
      </c>
      <c r="B23" s="28" t="n">
        <f aca="false">B22*12</f>
        <v>900000</v>
      </c>
      <c r="C23" s="9" t="s">
        <v>12</v>
      </c>
      <c r="D23" s="10" t="s">
        <v>150</v>
      </c>
    </row>
    <row r="24" customFormat="false" ht="22.35" hidden="false" customHeight="false" outlineLevel="0" collapsed="false">
      <c r="A24" s="7" t="s">
        <v>151</v>
      </c>
      <c r="B24" s="11" t="n">
        <f aca="false">Insurance!B78</f>
        <v>182300</v>
      </c>
      <c r="C24" s="9" t="s">
        <v>12</v>
      </c>
      <c r="D24" s="10" t="s">
        <v>152</v>
      </c>
    </row>
    <row r="25" customFormat="false" ht="15" hidden="false" customHeight="false" outlineLevel="0" collapsed="false">
      <c r="A25" s="7" t="s">
        <v>153</v>
      </c>
      <c r="B25" s="28" t="n">
        <f aca="false">B20-B23-B24</f>
        <v>1542700</v>
      </c>
      <c r="C25" s="9" t="s">
        <v>12</v>
      </c>
      <c r="D25" s="10" t="s">
        <v>154</v>
      </c>
    </row>
    <row r="26" customFormat="false" ht="15" hidden="false" customHeight="false" outlineLevel="0" collapsed="false">
      <c r="A26" s="7" t="s">
        <v>19</v>
      </c>
      <c r="B26" s="28" t="n">
        <f aca="false">B25/12</f>
        <v>128558.333333333</v>
      </c>
      <c r="C26" s="9" t="s">
        <v>20</v>
      </c>
      <c r="D26" s="10" t="s">
        <v>155</v>
      </c>
    </row>
    <row r="27" customFormat="false" ht="15" hidden="false" customHeight="false" outlineLevel="0" collapsed="false">
      <c r="A27" s="7" t="s">
        <v>22</v>
      </c>
      <c r="B27" s="20" t="n">
        <f aca="false">IF(B20=0,0,B25/B20)</f>
        <v>0.587695238095238</v>
      </c>
      <c r="C27" s="9" t="s">
        <v>23</v>
      </c>
      <c r="D27" s="10" t="s">
        <v>156</v>
      </c>
    </row>
    <row r="28" customFormat="false" ht="15" hidden="false" customHeight="false" outlineLevel="0" collapsed="false">
      <c r="A28" s="7" t="s">
        <v>157</v>
      </c>
      <c r="B28" s="27" t="n">
        <v>0.08</v>
      </c>
      <c r="C28" s="9" t="s">
        <v>23</v>
      </c>
      <c r="D28" s="10" t="s">
        <v>158</v>
      </c>
    </row>
    <row r="30" customFormat="false" ht="19.5" hidden="false" customHeight="true" outlineLevel="0" collapsed="false">
      <c r="A30" s="4" t="s">
        <v>159</v>
      </c>
      <c r="B30" s="5"/>
      <c r="C30" s="5"/>
      <c r="D30" s="5"/>
    </row>
    <row r="31" customFormat="false" ht="15" hidden="false" customHeight="false" outlineLevel="0" collapsed="false">
      <c r="A31" s="6" t="s">
        <v>117</v>
      </c>
      <c r="B31" s="6" t="s">
        <v>4</v>
      </c>
      <c r="C31" s="6" t="s">
        <v>5</v>
      </c>
      <c r="D31" s="6" t="s">
        <v>118</v>
      </c>
    </row>
    <row r="32" customFormat="false" ht="15" hidden="false" customHeight="false" outlineLevel="0" collapsed="false">
      <c r="A32" s="7" t="s">
        <v>160</v>
      </c>
      <c r="B32" s="26" t="n">
        <v>500000</v>
      </c>
      <c r="C32" s="9" t="s">
        <v>26</v>
      </c>
      <c r="D32" s="10" t="s">
        <v>161</v>
      </c>
    </row>
    <row r="33" customFormat="false" ht="15" hidden="false" customHeight="false" outlineLevel="0" collapsed="false">
      <c r="A33" s="7" t="s">
        <v>162</v>
      </c>
      <c r="B33" s="26" t="n">
        <v>300000</v>
      </c>
      <c r="C33" s="9" t="s">
        <v>26</v>
      </c>
      <c r="D33" s="10" t="s">
        <v>163</v>
      </c>
    </row>
    <row r="34" customFormat="false" ht="15" hidden="false" customHeight="false" outlineLevel="0" collapsed="false">
      <c r="A34" s="7" t="s">
        <v>164</v>
      </c>
      <c r="B34" s="26" t="n">
        <v>200000</v>
      </c>
      <c r="C34" s="9" t="s">
        <v>26</v>
      </c>
      <c r="D34" s="10" t="s">
        <v>165</v>
      </c>
    </row>
    <row r="35" customFormat="false" ht="15" hidden="false" customHeight="false" outlineLevel="0" collapsed="false">
      <c r="A35" s="7" t="s">
        <v>166</v>
      </c>
      <c r="B35" s="28" t="n">
        <f aca="false">SUM(B32:B34)</f>
        <v>1000000</v>
      </c>
      <c r="C35" s="9" t="s">
        <v>26</v>
      </c>
      <c r="D35" s="10" t="s">
        <v>167</v>
      </c>
    </row>
    <row r="36" customFormat="false" ht="15" hidden="false" customHeight="false" outlineLevel="0" collapsed="false">
      <c r="A36" s="7" t="s">
        <v>168</v>
      </c>
      <c r="B36" s="26" t="n">
        <v>0</v>
      </c>
      <c r="C36" s="9" t="s">
        <v>26</v>
      </c>
      <c r="D36" s="10" t="s">
        <v>169</v>
      </c>
    </row>
    <row r="37" customFormat="false" ht="15" hidden="false" customHeight="false" outlineLevel="0" collapsed="false">
      <c r="A37" s="7" t="s">
        <v>170</v>
      </c>
      <c r="B37" s="26" t="n">
        <v>0</v>
      </c>
      <c r="C37" s="9" t="s">
        <v>26</v>
      </c>
      <c r="D37" s="10" t="s">
        <v>169</v>
      </c>
    </row>
    <row r="38" customFormat="false" ht="15" hidden="false" customHeight="false" outlineLevel="0" collapsed="false">
      <c r="A38" s="7" t="s">
        <v>171</v>
      </c>
      <c r="B38" s="28" t="n">
        <f aca="false">SUM(B36:B37)</f>
        <v>0</v>
      </c>
      <c r="C38" s="9" t="s">
        <v>26</v>
      </c>
      <c r="D38" s="10" t="s">
        <v>172</v>
      </c>
    </row>
    <row r="39" customFormat="false" ht="15" hidden="false" customHeight="false" outlineLevel="0" collapsed="false">
      <c r="A39" s="7" t="s">
        <v>173</v>
      </c>
      <c r="B39" s="28" t="n">
        <f aca="false">B35-B38</f>
        <v>1000000</v>
      </c>
      <c r="C39" s="9" t="s">
        <v>26</v>
      </c>
      <c r="D39" s="10" t="s">
        <v>174</v>
      </c>
    </row>
    <row r="40" customFormat="false" ht="15" hidden="false" customHeight="false" outlineLevel="0" collapsed="false">
      <c r="A40" s="7" t="s">
        <v>175</v>
      </c>
      <c r="B40" s="26" t="n">
        <v>0</v>
      </c>
      <c r="C40" s="9" t="s">
        <v>26</v>
      </c>
      <c r="D40" s="10" t="s">
        <v>176</v>
      </c>
    </row>
    <row r="41" customFormat="false" ht="15" hidden="false" customHeight="false" outlineLevel="0" collapsed="false">
      <c r="A41" s="7" t="s">
        <v>177</v>
      </c>
      <c r="B41" s="26" t="n">
        <v>500000</v>
      </c>
      <c r="C41" s="9" t="s">
        <v>26</v>
      </c>
      <c r="D41" s="10" t="s">
        <v>178</v>
      </c>
    </row>
    <row r="43" customFormat="false" ht="19.5" hidden="false" customHeight="true" outlineLevel="0" collapsed="false">
      <c r="A43" s="4" t="s">
        <v>179</v>
      </c>
      <c r="B43" s="5"/>
      <c r="C43" s="5"/>
      <c r="D43" s="5"/>
    </row>
    <row r="44" customFormat="false" ht="15" hidden="false" customHeight="false" outlineLevel="0" collapsed="false">
      <c r="A44" s="6" t="s">
        <v>117</v>
      </c>
      <c r="B44" s="6" t="s">
        <v>4</v>
      </c>
      <c r="C44" s="6" t="s">
        <v>5</v>
      </c>
      <c r="D44" s="6" t="s">
        <v>118</v>
      </c>
    </row>
    <row r="45" customFormat="false" ht="15" hidden="false" customHeight="false" outlineLevel="0" collapsed="false">
      <c r="A45" s="7" t="s">
        <v>180</v>
      </c>
      <c r="B45" s="27" t="n">
        <v>0.06</v>
      </c>
      <c r="C45" s="9" t="s">
        <v>23</v>
      </c>
      <c r="D45" s="10" t="s">
        <v>181</v>
      </c>
    </row>
    <row r="46" customFormat="false" ht="15" hidden="false" customHeight="false" outlineLevel="0" collapsed="false">
      <c r="A46" s="7" t="s">
        <v>182</v>
      </c>
      <c r="B46" s="27" t="n">
        <v>0.1</v>
      </c>
      <c r="C46" s="9" t="s">
        <v>23</v>
      </c>
      <c r="D46" s="10" t="s">
        <v>183</v>
      </c>
    </row>
    <row r="47" customFormat="false" ht="15" hidden="false" customHeight="false" outlineLevel="0" collapsed="false">
      <c r="A47" s="7" t="s">
        <v>184</v>
      </c>
      <c r="B47" s="27" t="n">
        <v>0.08</v>
      </c>
      <c r="C47" s="9" t="s">
        <v>23</v>
      </c>
      <c r="D47" s="10" t="s">
        <v>185</v>
      </c>
    </row>
    <row r="48" customFormat="false" ht="15" hidden="false" customHeight="false" outlineLevel="0" collapsed="false">
      <c r="A48" s="7" t="s">
        <v>186</v>
      </c>
      <c r="B48" s="27" t="n">
        <v>0.12</v>
      </c>
      <c r="C48" s="9" t="s">
        <v>23</v>
      </c>
      <c r="D48" s="10" t="s">
        <v>187</v>
      </c>
    </row>
    <row r="49" customFormat="false" ht="15" hidden="false" customHeight="false" outlineLevel="0" collapsed="false">
      <c r="A49" s="7" t="s">
        <v>188</v>
      </c>
      <c r="B49" s="27" t="n">
        <v>0.07</v>
      </c>
      <c r="C49" s="9" t="s">
        <v>23</v>
      </c>
      <c r="D49" s="10" t="s">
        <v>189</v>
      </c>
    </row>
    <row r="50" customFormat="false" ht="15" hidden="false" customHeight="false" outlineLevel="0" collapsed="false">
      <c r="A50" s="7" t="s">
        <v>190</v>
      </c>
      <c r="B50" s="27" t="n">
        <v>0.75</v>
      </c>
      <c r="C50" s="9" t="s">
        <v>23</v>
      </c>
      <c r="D50" s="10" t="s">
        <v>191</v>
      </c>
    </row>
    <row r="51" customFormat="false" ht="22.35" hidden="false" customHeight="false" outlineLevel="0" collapsed="false">
      <c r="A51" s="7" t="s">
        <v>192</v>
      </c>
      <c r="B51" s="20" t="n">
        <f aca="false">B48*B50+B49*(1-B50)</f>
        <v>0.1075</v>
      </c>
      <c r="C51" s="9" t="s">
        <v>23</v>
      </c>
      <c r="D51" s="10" t="s">
        <v>193</v>
      </c>
    </row>
    <row r="52" customFormat="false" ht="15" hidden="false" customHeight="false" outlineLevel="0" collapsed="false">
      <c r="A52" s="7" t="s">
        <v>194</v>
      </c>
      <c r="B52" s="27" t="n">
        <v>0.075</v>
      </c>
      <c r="C52" s="9" t="s">
        <v>23</v>
      </c>
      <c r="D52" s="10" t="s">
        <v>195</v>
      </c>
    </row>
    <row r="53" customFormat="false" ht="15" hidden="false" customHeight="false" outlineLevel="0" collapsed="false">
      <c r="A53" s="7" t="s">
        <v>196</v>
      </c>
      <c r="B53" s="27" t="n">
        <v>0.1</v>
      </c>
      <c r="C53" s="9" t="s">
        <v>23</v>
      </c>
      <c r="D53" s="10" t="s">
        <v>197</v>
      </c>
    </row>
    <row r="54" customFormat="false" ht="22.35" hidden="false" customHeight="false" outlineLevel="0" collapsed="false">
      <c r="A54" s="7" t="s">
        <v>198</v>
      </c>
      <c r="B54" s="20" t="n">
        <f aca="false">(1+B51)/(1+B45)-1</f>
        <v>0.0448113207547169</v>
      </c>
      <c r="C54" s="9" t="s">
        <v>23</v>
      </c>
      <c r="D54" s="10" t="s">
        <v>199</v>
      </c>
    </row>
    <row r="55" customFormat="false" ht="22.35" hidden="false" customHeight="false" outlineLevel="0" collapsed="false">
      <c r="A55" s="7" t="s">
        <v>200</v>
      </c>
      <c r="B55" s="20" t="n">
        <f aca="false">(1+B52)/(1+B45)-1</f>
        <v>0.0141509433962264</v>
      </c>
      <c r="C55" s="9" t="s">
        <v>23</v>
      </c>
      <c r="D55" s="10" t="s">
        <v>201</v>
      </c>
    </row>
    <row r="56" customFormat="false" ht="22.35" hidden="false" customHeight="false" outlineLevel="0" collapsed="false">
      <c r="A56" s="7" t="s">
        <v>202</v>
      </c>
      <c r="B56" s="20" t="n">
        <f aca="false">(1+B49)/(1+B45)-1</f>
        <v>0.00943396226415105</v>
      </c>
      <c r="C56" s="9" t="s">
        <v>23</v>
      </c>
      <c r="D56" s="10" t="s">
        <v>203</v>
      </c>
    </row>
    <row r="58" customFormat="false" ht="19.5" hidden="false" customHeight="true" outlineLevel="0" collapsed="false">
      <c r="A58" s="4" t="s">
        <v>204</v>
      </c>
      <c r="B58" s="5"/>
      <c r="C58" s="5"/>
      <c r="D58" s="5"/>
    </row>
    <row r="59" customFormat="false" ht="15" hidden="false" customHeight="false" outlineLevel="0" collapsed="false">
      <c r="A59" s="6" t="s">
        <v>117</v>
      </c>
      <c r="B59" s="6" t="s">
        <v>4</v>
      </c>
      <c r="C59" s="6" t="s">
        <v>5</v>
      </c>
      <c r="D59" s="6" t="s">
        <v>118</v>
      </c>
    </row>
    <row r="60" customFormat="false" ht="15" hidden="false" customHeight="false" outlineLevel="0" collapsed="false">
      <c r="A60" s="7" t="s">
        <v>57</v>
      </c>
      <c r="B60" s="29" t="n">
        <f aca="false">B10-B9</f>
        <v>36</v>
      </c>
      <c r="C60" s="9" t="s">
        <v>10</v>
      </c>
      <c r="D60" s="10" t="s">
        <v>205</v>
      </c>
    </row>
    <row r="61" customFormat="false" ht="15" hidden="false" customHeight="false" outlineLevel="0" collapsed="false">
      <c r="A61" s="7" t="s">
        <v>206</v>
      </c>
      <c r="B61" s="29" t="n">
        <f aca="false">B60*12</f>
        <v>432</v>
      </c>
      <c r="C61" s="9" t="s">
        <v>207</v>
      </c>
      <c r="D61" s="10" t="s">
        <v>208</v>
      </c>
    </row>
    <row r="62" customFormat="false" ht="15" hidden="false" customHeight="false" outlineLevel="0" collapsed="false">
      <c r="A62" s="7" t="s">
        <v>209</v>
      </c>
      <c r="B62" s="29" t="n">
        <f aca="false">B11-B10</f>
        <v>25</v>
      </c>
      <c r="C62" s="9" t="s">
        <v>10</v>
      </c>
      <c r="D62" s="10" t="s">
        <v>210</v>
      </c>
    </row>
    <row r="63" customFormat="false" ht="15" hidden="false" customHeight="false" outlineLevel="0" collapsed="false">
      <c r="A63" s="7" t="s">
        <v>211</v>
      </c>
      <c r="B63" s="27" t="n">
        <v>0.75</v>
      </c>
      <c r="C63" s="9" t="s">
        <v>23</v>
      </c>
      <c r="D63" s="10" t="s">
        <v>212</v>
      </c>
    </row>
    <row r="64" customFormat="false" ht="15" hidden="false" customHeight="false" outlineLevel="0" collapsed="false">
      <c r="A64" s="7" t="s">
        <v>213</v>
      </c>
      <c r="B64" s="24" t="n">
        <v>6</v>
      </c>
      <c r="C64" s="9" t="s">
        <v>207</v>
      </c>
      <c r="D64" s="10" t="s">
        <v>214</v>
      </c>
    </row>
    <row r="66" customFormat="false" ht="27.75" hidden="false" customHeight="true" outlineLevel="0" collapsed="false">
      <c r="A66" s="3" t="s">
        <v>215</v>
      </c>
      <c r="B66" s="3"/>
      <c r="C66" s="3"/>
      <c r="D66" s="3"/>
    </row>
  </sheetData>
  <mergeCells count="2">
    <mergeCell ref="A3:D3"/>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4"/>
    <col collapsed="false" customWidth="true" hidden="false" outlineLevel="0" max="4" min="4" style="0" width="78"/>
  </cols>
  <sheetData>
    <row r="1" customFormat="false" ht="25.5" hidden="false" customHeight="true" outlineLevel="0" collapsed="false">
      <c r="A1" s="1" t="s">
        <v>216</v>
      </c>
      <c r="B1" s="2"/>
      <c r="C1" s="2"/>
      <c r="D1" s="2"/>
    </row>
    <row r="3" customFormat="false" ht="27.75" hidden="false" customHeight="true" outlineLevel="0" collapsed="false">
      <c r="A3" s="3" t="s">
        <v>217</v>
      </c>
      <c r="B3" s="3"/>
      <c r="C3" s="3"/>
      <c r="D3" s="3"/>
    </row>
    <row r="5" customFormat="false" ht="19.5" hidden="false" customHeight="true" outlineLevel="0" collapsed="false">
      <c r="A5" s="4" t="s">
        <v>218</v>
      </c>
      <c r="B5" s="5"/>
      <c r="C5" s="5"/>
      <c r="D5" s="5"/>
    </row>
    <row r="6" customFormat="false" ht="15" hidden="false" customHeight="false" outlineLevel="0" collapsed="false">
      <c r="A6" s="6" t="s">
        <v>117</v>
      </c>
      <c r="B6" s="6" t="s">
        <v>4</v>
      </c>
      <c r="C6" s="6" t="s">
        <v>5</v>
      </c>
      <c r="D6" s="6" t="s">
        <v>118</v>
      </c>
    </row>
    <row r="7" customFormat="false" ht="15" hidden="false" customHeight="false" outlineLevel="0" collapsed="false">
      <c r="A7" s="7" t="s">
        <v>126</v>
      </c>
      <c r="B7" s="13" t="n">
        <f aca="false">Inputs!B9</f>
        <v>24</v>
      </c>
      <c r="C7" s="9" t="s">
        <v>10</v>
      </c>
      <c r="D7" s="10" t="s">
        <v>219</v>
      </c>
    </row>
    <row r="8" customFormat="false" ht="15" hidden="false" customHeight="false" outlineLevel="0" collapsed="false">
      <c r="A8" s="7" t="s">
        <v>11</v>
      </c>
      <c r="B8" s="11" t="n">
        <f aca="false">Inputs!B18</f>
        <v>3500000</v>
      </c>
      <c r="C8" s="9" t="s">
        <v>12</v>
      </c>
      <c r="D8" s="10" t="s">
        <v>219</v>
      </c>
    </row>
    <row r="9" customFormat="false" ht="15" hidden="false" customHeight="false" outlineLevel="0" collapsed="false">
      <c r="A9" s="7" t="s">
        <v>13</v>
      </c>
      <c r="B9" s="11" t="n">
        <f aca="false">Inputs!B20</f>
        <v>2625000</v>
      </c>
      <c r="C9" s="9" t="s">
        <v>12</v>
      </c>
      <c r="D9" s="10" t="s">
        <v>219</v>
      </c>
    </row>
    <row r="10" customFormat="false" ht="15" hidden="false" customHeight="false" outlineLevel="0" collapsed="false">
      <c r="A10" s="7" t="s">
        <v>57</v>
      </c>
      <c r="B10" s="13" t="n">
        <f aca="false">Inputs!B60</f>
        <v>36</v>
      </c>
      <c r="C10" s="9" t="s">
        <v>10</v>
      </c>
      <c r="D10" s="10" t="s">
        <v>220</v>
      </c>
    </row>
    <row r="11" customFormat="false" ht="15" hidden="false" customHeight="false" outlineLevel="0" collapsed="false">
      <c r="A11" s="7" t="s">
        <v>171</v>
      </c>
      <c r="B11" s="11" t="n">
        <f aca="false">Inputs!B38</f>
        <v>0</v>
      </c>
      <c r="C11" s="9" t="s">
        <v>26</v>
      </c>
      <c r="D11" s="10" t="s">
        <v>221</v>
      </c>
    </row>
    <row r="12" customFormat="false" ht="15" hidden="false" customHeight="false" outlineLevel="0" collapsed="false">
      <c r="A12" s="7" t="s">
        <v>166</v>
      </c>
      <c r="B12" s="11" t="n">
        <f aca="false">Inputs!B35</f>
        <v>1000000</v>
      </c>
      <c r="C12" s="9" t="s">
        <v>26</v>
      </c>
      <c r="D12" s="10" t="s">
        <v>222</v>
      </c>
    </row>
    <row r="13" customFormat="false" ht="15" hidden="false" customHeight="false" outlineLevel="0" collapsed="false">
      <c r="A13" s="7" t="s">
        <v>223</v>
      </c>
      <c r="B13" s="11" t="n">
        <f aca="false">Inputs!B40</f>
        <v>0</v>
      </c>
      <c r="C13" s="9" t="s">
        <v>26</v>
      </c>
      <c r="D13" s="10" t="s">
        <v>224</v>
      </c>
    </row>
    <row r="14" customFormat="false" ht="15" hidden="false" customHeight="false" outlineLevel="0" collapsed="false">
      <c r="A14" s="7" t="s">
        <v>225</v>
      </c>
      <c r="B14" s="11" t="n">
        <f aca="false">Inputs!B41</f>
        <v>500000</v>
      </c>
      <c r="C14" s="9" t="s">
        <v>26</v>
      </c>
      <c r="D14" s="10" t="s">
        <v>224</v>
      </c>
    </row>
    <row r="15" customFormat="false" ht="15" hidden="false" customHeight="false" outlineLevel="0" collapsed="false">
      <c r="A15" s="7" t="s">
        <v>226</v>
      </c>
      <c r="B15" s="12" t="n">
        <f aca="false">Inputs!B56</f>
        <v>0.00943396226415105</v>
      </c>
      <c r="C15" s="9" t="s">
        <v>23</v>
      </c>
      <c r="D15" s="10" t="s">
        <v>227</v>
      </c>
    </row>
    <row r="17" customFormat="false" ht="19.5" hidden="false" customHeight="true" outlineLevel="0" collapsed="false">
      <c r="A17" s="4" t="s">
        <v>228</v>
      </c>
      <c r="B17" s="5"/>
      <c r="C17" s="5"/>
      <c r="D17" s="5"/>
    </row>
    <row r="18" customFormat="false" ht="15" hidden="false" customHeight="false" outlineLevel="0" collapsed="false">
      <c r="A18" s="6" t="s">
        <v>117</v>
      </c>
      <c r="B18" s="6" t="s">
        <v>4</v>
      </c>
      <c r="C18" s="6" t="s">
        <v>5</v>
      </c>
      <c r="D18" s="6" t="s">
        <v>118</v>
      </c>
    </row>
    <row r="19" customFormat="false" ht="22.35" hidden="false" customHeight="false" outlineLevel="0" collapsed="false">
      <c r="A19" s="7" t="s">
        <v>229</v>
      </c>
      <c r="B19" s="30" t="n">
        <f aca="false">INDEX(Tables!$B$5:$B$10,MATCH(B7,Tables!$A$5:$A$10,1))</f>
        <v>20</v>
      </c>
      <c r="C19" s="9" t="s">
        <v>138</v>
      </c>
      <c r="D19" s="10" t="s">
        <v>230</v>
      </c>
    </row>
    <row r="20" customFormat="false" ht="22.35" hidden="false" customHeight="false" outlineLevel="0" collapsed="false">
      <c r="A20" s="7" t="s">
        <v>231</v>
      </c>
      <c r="B20" s="28" t="n">
        <f aca="false">B8*B19</f>
        <v>70000000</v>
      </c>
      <c r="C20" s="9" t="s">
        <v>26</v>
      </c>
      <c r="D20" s="10" t="s">
        <v>232</v>
      </c>
    </row>
    <row r="22" customFormat="false" ht="19.5" hidden="false" customHeight="true" outlineLevel="0" collapsed="false">
      <c r="A22" s="4" t="s">
        <v>233</v>
      </c>
      <c r="B22" s="5"/>
      <c r="C22" s="5"/>
      <c r="D22" s="5"/>
    </row>
    <row r="23" customFormat="false" ht="15" hidden="false" customHeight="false" outlineLevel="0" collapsed="false">
      <c r="A23" s="6" t="s">
        <v>117</v>
      </c>
      <c r="B23" s="6" t="s">
        <v>4</v>
      </c>
      <c r="C23" s="6" t="s">
        <v>5</v>
      </c>
      <c r="D23" s="6" t="s">
        <v>118</v>
      </c>
    </row>
    <row r="24" customFormat="false" ht="15" hidden="false" customHeight="false" outlineLevel="0" collapsed="false">
      <c r="A24" s="7" t="s">
        <v>234</v>
      </c>
      <c r="B24" s="27" t="n">
        <v>0.3</v>
      </c>
      <c r="C24" s="9" t="s">
        <v>23</v>
      </c>
      <c r="D24" s="10" t="s">
        <v>235</v>
      </c>
    </row>
    <row r="25" customFormat="false" ht="15" hidden="false" customHeight="false" outlineLevel="0" collapsed="false">
      <c r="A25" s="7" t="s">
        <v>236</v>
      </c>
      <c r="B25" s="28" t="n">
        <f aca="false">B9*(1-B24)</f>
        <v>1837500</v>
      </c>
      <c r="C25" s="9" t="s">
        <v>12</v>
      </c>
      <c r="D25" s="10" t="s">
        <v>237</v>
      </c>
    </row>
    <row r="26" customFormat="false" ht="22.35" hidden="false" customHeight="false" outlineLevel="0" collapsed="false">
      <c r="A26" s="7" t="s">
        <v>238</v>
      </c>
      <c r="B26" s="28" t="n">
        <f aca="false">PV(B15,B10,-B25)</f>
        <v>55866645.7662845</v>
      </c>
      <c r="C26" s="9" t="s">
        <v>26</v>
      </c>
      <c r="D26" s="10" t="s">
        <v>239</v>
      </c>
    </row>
    <row r="27" customFormat="false" ht="15" hidden="false" customHeight="false" outlineLevel="0" collapsed="false">
      <c r="A27" s="7" t="s">
        <v>240</v>
      </c>
      <c r="B27" s="28" t="n">
        <f aca="false">B11</f>
        <v>0</v>
      </c>
      <c r="C27" s="9" t="s">
        <v>26</v>
      </c>
      <c r="D27" s="10" t="s">
        <v>241</v>
      </c>
    </row>
    <row r="28" customFormat="false" ht="15" hidden="false" customHeight="false" outlineLevel="0" collapsed="false">
      <c r="A28" s="7" t="s">
        <v>242</v>
      </c>
      <c r="B28" s="28" t="n">
        <f aca="false">-B12</f>
        <v>-1000000</v>
      </c>
      <c r="C28" s="9" t="s">
        <v>26</v>
      </c>
      <c r="D28" s="10" t="s">
        <v>243</v>
      </c>
    </row>
    <row r="29" customFormat="false" ht="15" hidden="false" customHeight="false" outlineLevel="0" collapsed="false">
      <c r="A29" s="18" t="s">
        <v>244</v>
      </c>
      <c r="B29" s="19" t="n">
        <f aca="false">MAX(0,SUM(B26:B28))</f>
        <v>54866645.7662845</v>
      </c>
      <c r="C29" s="9" t="s">
        <v>26</v>
      </c>
      <c r="D29" s="10" t="s">
        <v>245</v>
      </c>
    </row>
    <row r="31" customFormat="false" ht="19.5" hidden="false" customHeight="true" outlineLevel="0" collapsed="false">
      <c r="A31" s="4" t="s">
        <v>246</v>
      </c>
      <c r="B31" s="5"/>
      <c r="C31" s="5"/>
      <c r="D31" s="5"/>
    </row>
    <row r="32" customFormat="false" ht="15" hidden="false" customHeight="false" outlineLevel="0" collapsed="false">
      <c r="A32" s="6" t="s">
        <v>117</v>
      </c>
      <c r="B32" s="6" t="s">
        <v>4</v>
      </c>
      <c r="C32" s="6" t="s">
        <v>5</v>
      </c>
      <c r="D32" s="6" t="s">
        <v>118</v>
      </c>
    </row>
    <row r="33" customFormat="false" ht="22.35" hidden="false" customHeight="false" outlineLevel="0" collapsed="false">
      <c r="A33" s="7" t="s">
        <v>247</v>
      </c>
      <c r="B33" s="28" t="n">
        <f aca="false">Inputs!B23*0.75</f>
        <v>675000</v>
      </c>
      <c r="C33" s="9" t="s">
        <v>12</v>
      </c>
      <c r="D33" s="10" t="s">
        <v>248</v>
      </c>
    </row>
    <row r="34" customFormat="false" ht="22.35" hidden="false" customHeight="false" outlineLevel="0" collapsed="false">
      <c r="A34" s="7" t="s">
        <v>249</v>
      </c>
      <c r="B34" s="29" t="n">
        <f aca="false">Inputs!B11-Inputs!B9</f>
        <v>61</v>
      </c>
      <c r="C34" s="9" t="s">
        <v>10</v>
      </c>
      <c r="D34" s="10" t="s">
        <v>250</v>
      </c>
    </row>
    <row r="35" customFormat="false" ht="15" hidden="false" customHeight="false" outlineLevel="0" collapsed="false">
      <c r="A35" s="7" t="s">
        <v>251</v>
      </c>
      <c r="B35" s="28" t="n">
        <f aca="false">PV(B15,B34,-B33)</f>
        <v>31198751.15034</v>
      </c>
      <c r="C35" s="9" t="s">
        <v>26</v>
      </c>
      <c r="D35" s="10" t="s">
        <v>252</v>
      </c>
    </row>
    <row r="36" customFormat="false" ht="15" hidden="false" customHeight="false" outlineLevel="0" collapsed="false">
      <c r="A36" s="7" t="s">
        <v>240</v>
      </c>
      <c r="B36" s="28" t="n">
        <f aca="false">B11</f>
        <v>0</v>
      </c>
      <c r="C36" s="9" t="s">
        <v>26</v>
      </c>
      <c r="D36" s="10" t="s">
        <v>253</v>
      </c>
    </row>
    <row r="37" customFormat="false" ht="15" hidden="false" customHeight="false" outlineLevel="0" collapsed="false">
      <c r="A37" s="7" t="s">
        <v>254</v>
      </c>
      <c r="B37" s="26" t="n">
        <v>3000000</v>
      </c>
      <c r="C37" s="9" t="s">
        <v>26</v>
      </c>
      <c r="D37" s="10" t="s">
        <v>255</v>
      </c>
    </row>
    <row r="38" customFormat="false" ht="15" hidden="false" customHeight="false" outlineLevel="0" collapsed="false">
      <c r="A38" s="7" t="s">
        <v>256</v>
      </c>
      <c r="B38" s="26" t="n">
        <v>2500000</v>
      </c>
      <c r="C38" s="9" t="s">
        <v>26</v>
      </c>
      <c r="D38" s="10" t="s">
        <v>257</v>
      </c>
    </row>
    <row r="39" customFormat="false" ht="15" hidden="false" customHeight="false" outlineLevel="0" collapsed="false">
      <c r="A39" s="7" t="s">
        <v>258</v>
      </c>
      <c r="B39" s="26" t="n">
        <v>500000</v>
      </c>
      <c r="C39" s="9" t="s">
        <v>26</v>
      </c>
      <c r="D39" s="10" t="s">
        <v>259</v>
      </c>
    </row>
    <row r="40" customFormat="false" ht="15" hidden="false" customHeight="false" outlineLevel="0" collapsed="false">
      <c r="A40" s="7" t="s">
        <v>242</v>
      </c>
      <c r="B40" s="28" t="n">
        <f aca="false">-B12</f>
        <v>-1000000</v>
      </c>
      <c r="C40" s="9" t="s">
        <v>26</v>
      </c>
      <c r="D40" s="10" t="s">
        <v>260</v>
      </c>
    </row>
    <row r="41" customFormat="false" ht="15" hidden="false" customHeight="false" outlineLevel="0" collapsed="false">
      <c r="A41" s="18" t="s">
        <v>261</v>
      </c>
      <c r="B41" s="19" t="n">
        <f aca="false">MAX(0,SUM(B35:B40))</f>
        <v>36198751.15034</v>
      </c>
      <c r="C41" s="9" t="s">
        <v>26</v>
      </c>
      <c r="D41" s="10" t="s">
        <v>262</v>
      </c>
    </row>
    <row r="43" customFormat="false" ht="19.5" hidden="false" customHeight="true" outlineLevel="0" collapsed="false">
      <c r="A43" s="4" t="s">
        <v>263</v>
      </c>
      <c r="B43" s="5"/>
      <c r="C43" s="5"/>
      <c r="D43" s="5"/>
    </row>
    <row r="44" customFormat="false" ht="15" hidden="false" customHeight="false" outlineLevel="0" collapsed="false">
      <c r="A44" s="6" t="s">
        <v>117</v>
      </c>
      <c r="B44" s="6" t="s">
        <v>4</v>
      </c>
      <c r="C44" s="6" t="s">
        <v>5</v>
      </c>
      <c r="D44" s="6" t="s">
        <v>118</v>
      </c>
    </row>
    <row r="45" customFormat="false" ht="22.35" hidden="false" customHeight="false" outlineLevel="0" collapsed="false">
      <c r="A45" s="7" t="s">
        <v>264</v>
      </c>
      <c r="B45" s="28" t="n">
        <f aca="false">MAX(B20,B29,B41)</f>
        <v>70000000</v>
      </c>
      <c r="C45" s="9" t="s">
        <v>26</v>
      </c>
      <c r="D45" s="10" t="s">
        <v>265</v>
      </c>
    </row>
    <row r="46" customFormat="false" ht="15" hidden="false" customHeight="false" outlineLevel="0" collapsed="false">
      <c r="A46" s="7" t="s">
        <v>266</v>
      </c>
      <c r="B46" s="28" t="n">
        <f aca="false">-B13</f>
        <v>-0</v>
      </c>
      <c r="C46" s="9" t="s">
        <v>26</v>
      </c>
      <c r="D46" s="10" t="s">
        <v>267</v>
      </c>
    </row>
    <row r="47" customFormat="false" ht="15" hidden="false" customHeight="false" outlineLevel="0" collapsed="false">
      <c r="A47" s="7" t="s">
        <v>268</v>
      </c>
      <c r="B47" s="28" t="n">
        <f aca="false">MAX(0,B45+B46)</f>
        <v>70000000</v>
      </c>
      <c r="C47" s="9" t="s">
        <v>26</v>
      </c>
      <c r="D47" s="10" t="s">
        <v>269</v>
      </c>
    </row>
    <row r="48" customFormat="false" ht="23.85" hidden="false" customHeight="false" outlineLevel="0" collapsed="false">
      <c r="A48" s="14" t="s">
        <v>270</v>
      </c>
      <c r="B48" s="15" t="n">
        <f aca="false">CEILING(B47,2500000)</f>
        <v>70000000</v>
      </c>
      <c r="C48" s="9" t="s">
        <v>26</v>
      </c>
      <c r="D48" s="10" t="s">
        <v>271</v>
      </c>
    </row>
    <row r="49" customFormat="false" ht="22.35" hidden="false" customHeight="false" outlineLevel="0" collapsed="false">
      <c r="A49" s="7" t="s">
        <v>272</v>
      </c>
      <c r="B49" s="29" t="n">
        <f aca="false">70-B7</f>
        <v>46</v>
      </c>
      <c r="C49" s="9" t="s">
        <v>10</v>
      </c>
      <c r="D49" s="10" t="s">
        <v>273</v>
      </c>
    </row>
    <row r="50" customFormat="false" ht="22.35" hidden="false" customHeight="false" outlineLevel="0" collapsed="false">
      <c r="A50" s="7" t="s">
        <v>274</v>
      </c>
      <c r="B50" s="29" t="n">
        <f aca="false">INDEX(Tables!$E$5:$E$11,MATCH(B7,Tables!$D$5:$D$11,1))</f>
        <v>105</v>
      </c>
      <c r="C50" s="9" t="s">
        <v>12</v>
      </c>
      <c r="D50" s="10" t="s">
        <v>275</v>
      </c>
    </row>
    <row r="51" customFormat="false" ht="15" hidden="false" customHeight="false" outlineLevel="0" collapsed="false">
      <c r="A51" s="7" t="s">
        <v>276</v>
      </c>
      <c r="B51" s="28" t="n">
        <f aca="false">B48/100000*B50</f>
        <v>73500</v>
      </c>
      <c r="C51" s="9" t="s">
        <v>12</v>
      </c>
      <c r="D51" s="10" t="s">
        <v>277</v>
      </c>
    </row>
    <row r="52" customFormat="false" ht="15" hidden="false" customHeight="false" outlineLevel="0" collapsed="false">
      <c r="A52" s="7" t="s">
        <v>278</v>
      </c>
      <c r="B52" s="20" t="n">
        <f aca="false">IFERROR(B51/B8,0)</f>
        <v>0.021</v>
      </c>
      <c r="C52" s="9" t="s">
        <v>23</v>
      </c>
      <c r="D52" s="10" t="s">
        <v>279</v>
      </c>
    </row>
    <row r="54" customFormat="false" ht="19.5" hidden="false" customHeight="true" outlineLevel="0" collapsed="false">
      <c r="A54" s="4" t="s">
        <v>280</v>
      </c>
      <c r="B54" s="5"/>
      <c r="C54" s="5"/>
      <c r="D54" s="5"/>
    </row>
    <row r="55" customFormat="false" ht="15" hidden="false" customHeight="false" outlineLevel="0" collapsed="false">
      <c r="A55" s="6" t="s">
        <v>117</v>
      </c>
      <c r="B55" s="6" t="s">
        <v>4</v>
      </c>
      <c r="C55" s="6" t="s">
        <v>5</v>
      </c>
      <c r="D55" s="6" t="s">
        <v>118</v>
      </c>
    </row>
    <row r="56" customFormat="false" ht="22.35" hidden="false" customHeight="false" outlineLevel="0" collapsed="false">
      <c r="A56" s="7" t="s">
        <v>281</v>
      </c>
      <c r="B56" s="28" t="n">
        <f aca="false">INDEX(Tables!$H$5:$H$9,MATCH(B7,Tables!$G$5:$G$9,1))</f>
        <v>500000</v>
      </c>
      <c r="C56" s="9" t="s">
        <v>26</v>
      </c>
      <c r="D56" s="10" t="s">
        <v>282</v>
      </c>
    </row>
    <row r="57" customFormat="false" ht="22.35" hidden="false" customHeight="false" outlineLevel="0" collapsed="false">
      <c r="A57" s="7" t="s">
        <v>283</v>
      </c>
      <c r="B57" s="28" t="n">
        <f aca="false">B8*0.5</f>
        <v>1750000</v>
      </c>
      <c r="C57" s="9" t="s">
        <v>26</v>
      </c>
      <c r="D57" s="10" t="s">
        <v>284</v>
      </c>
    </row>
    <row r="58" customFormat="false" ht="15" hidden="false" customHeight="false" outlineLevel="0" collapsed="false">
      <c r="A58" s="7" t="s">
        <v>137</v>
      </c>
      <c r="B58" s="31" t="n">
        <f aca="false">Inputs!B14</f>
        <v>1</v>
      </c>
      <c r="C58" s="9" t="s">
        <v>138</v>
      </c>
      <c r="D58" s="10" t="s">
        <v>285</v>
      </c>
    </row>
    <row r="59" customFormat="false" ht="22.35" hidden="false" customHeight="false" outlineLevel="0" collapsed="false">
      <c r="A59" s="7" t="s">
        <v>286</v>
      </c>
      <c r="B59" s="30" t="n">
        <f aca="false">1+(Inputs!B13-1)*0.25</f>
        <v>1.5</v>
      </c>
      <c r="C59" s="9" t="s">
        <v>138</v>
      </c>
      <c r="D59" s="10" t="s">
        <v>287</v>
      </c>
    </row>
    <row r="60" customFormat="false" ht="15" hidden="false" customHeight="false" outlineLevel="0" collapsed="false">
      <c r="A60" s="14" t="s">
        <v>288</v>
      </c>
      <c r="B60" s="15" t="n">
        <f aca="false">CEILING(MAX(B56,B57)*B58*B59,500000)</f>
        <v>3000000</v>
      </c>
      <c r="C60" s="9" t="s">
        <v>26</v>
      </c>
      <c r="D60" s="10" t="s">
        <v>289</v>
      </c>
    </row>
    <row r="61" customFormat="false" ht="32.8" hidden="false" customHeight="false" outlineLevel="0" collapsed="false">
      <c r="A61" s="14" t="s">
        <v>290</v>
      </c>
      <c r="B61" s="15" t="n">
        <f aca="false">CEILING(B60*3,500000)</f>
        <v>9000000</v>
      </c>
      <c r="C61" s="9" t="s">
        <v>26</v>
      </c>
      <c r="D61" s="10" t="s">
        <v>291</v>
      </c>
    </row>
    <row r="62" customFormat="false" ht="15" hidden="false" customHeight="false" outlineLevel="0" collapsed="false">
      <c r="A62" s="21" t="s">
        <v>39</v>
      </c>
      <c r="B62" s="32" t="n">
        <f aca="false">B60+B61</f>
        <v>12000000</v>
      </c>
      <c r="C62" s="9" t="s">
        <v>26</v>
      </c>
      <c r="D62" s="10" t="s">
        <v>292</v>
      </c>
    </row>
    <row r="63" customFormat="false" ht="15" hidden="false" customHeight="false" outlineLevel="0" collapsed="false">
      <c r="A63" s="7" t="s">
        <v>293</v>
      </c>
      <c r="B63" s="28" t="n">
        <f aca="false">-B14</f>
        <v>-500000</v>
      </c>
      <c r="C63" s="9" t="s">
        <v>26</v>
      </c>
      <c r="D63" s="10" t="s">
        <v>294</v>
      </c>
    </row>
    <row r="64" customFormat="false" ht="15" hidden="false" customHeight="false" outlineLevel="0" collapsed="false">
      <c r="A64" s="7" t="s">
        <v>295</v>
      </c>
      <c r="B64" s="28" t="n">
        <f aca="false">MAX(0,B60+B63)</f>
        <v>2500000</v>
      </c>
      <c r="C64" s="9" t="s">
        <v>26</v>
      </c>
      <c r="D64" s="10" t="s">
        <v>296</v>
      </c>
    </row>
    <row r="65" customFormat="false" ht="15" hidden="false" customHeight="false" outlineLevel="0" collapsed="false">
      <c r="A65" s="7" t="s">
        <v>297</v>
      </c>
      <c r="B65" s="29" t="n">
        <f aca="false">INDEX(Tables!$K$5:$K$9,MATCH(B7,Tables!$J$5:$J$9,1))</f>
        <v>1400</v>
      </c>
      <c r="C65" s="9" t="s">
        <v>12</v>
      </c>
      <c r="D65" s="10" t="s">
        <v>298</v>
      </c>
    </row>
    <row r="66" customFormat="false" ht="15" hidden="false" customHeight="false" outlineLevel="0" collapsed="false">
      <c r="A66" s="7" t="s">
        <v>299</v>
      </c>
      <c r="B66" s="28" t="n">
        <f aca="false">B60/100000*B65</f>
        <v>42000</v>
      </c>
      <c r="C66" s="9" t="s">
        <v>12</v>
      </c>
      <c r="D66" s="10" t="s">
        <v>300</v>
      </c>
    </row>
    <row r="67" customFormat="false" ht="15" hidden="false" customHeight="false" outlineLevel="0" collapsed="false">
      <c r="A67" s="7" t="s">
        <v>301</v>
      </c>
      <c r="B67" s="28" t="n">
        <f aca="false">B61/100000*B65*Tables!$B$25</f>
        <v>37800</v>
      </c>
      <c r="C67" s="9" t="s">
        <v>12</v>
      </c>
      <c r="D67" s="10" t="s">
        <v>302</v>
      </c>
    </row>
    <row r="69" customFormat="false" ht="19.5" hidden="false" customHeight="true" outlineLevel="0" collapsed="false">
      <c r="A69" s="4" t="s">
        <v>303</v>
      </c>
      <c r="B69" s="5"/>
      <c r="C69" s="5"/>
      <c r="D69" s="5"/>
    </row>
    <row r="70" customFormat="false" ht="15" hidden="false" customHeight="false" outlineLevel="0" collapsed="false">
      <c r="A70" s="6" t="s">
        <v>117</v>
      </c>
      <c r="B70" s="6" t="s">
        <v>4</v>
      </c>
      <c r="C70" s="6" t="s">
        <v>5</v>
      </c>
      <c r="D70" s="6" t="s">
        <v>118</v>
      </c>
    </row>
    <row r="71" customFormat="false" ht="22.35" hidden="false" customHeight="false" outlineLevel="0" collapsed="false">
      <c r="A71" s="14" t="s">
        <v>304</v>
      </c>
      <c r="B71" s="15" t="n">
        <f aca="false">CEILING(MIN(B8*3,5000000),500000)</f>
        <v>5000000</v>
      </c>
      <c r="C71" s="9" t="s">
        <v>26</v>
      </c>
      <c r="D71" s="10" t="s">
        <v>305</v>
      </c>
    </row>
    <row r="72" customFormat="false" ht="32.8" hidden="false" customHeight="false" outlineLevel="0" collapsed="false">
      <c r="A72" s="14" t="s">
        <v>306</v>
      </c>
      <c r="B72" s="15" t="n">
        <f aca="false">CEILING(MIN(B8*10,20000000),500000)</f>
        <v>20000000</v>
      </c>
      <c r="C72" s="9" t="s">
        <v>26</v>
      </c>
      <c r="D72" s="10" t="s">
        <v>307</v>
      </c>
    </row>
    <row r="73" customFormat="false" ht="15" hidden="false" customHeight="false" outlineLevel="0" collapsed="false">
      <c r="A73" s="7" t="s">
        <v>308</v>
      </c>
      <c r="B73" s="28" t="n">
        <f aca="false">B71/100000*Tables!$B$26</f>
        <v>11000</v>
      </c>
      <c r="C73" s="9" t="s">
        <v>12</v>
      </c>
      <c r="D73" s="10" t="s">
        <v>309</v>
      </c>
    </row>
    <row r="74" customFormat="false" ht="15" hidden="false" customHeight="false" outlineLevel="0" collapsed="false">
      <c r="A74" s="7" t="s">
        <v>310</v>
      </c>
      <c r="B74" s="28" t="n">
        <f aca="false">B72/100000*Tables!$B$27</f>
        <v>18000</v>
      </c>
      <c r="C74" s="9" t="s">
        <v>12</v>
      </c>
      <c r="D74" s="10" t="s">
        <v>311</v>
      </c>
    </row>
    <row r="76" customFormat="false" ht="19.5" hidden="false" customHeight="true" outlineLevel="0" collapsed="false">
      <c r="A76" s="4" t="s">
        <v>312</v>
      </c>
      <c r="B76" s="5"/>
      <c r="C76" s="5"/>
      <c r="D76" s="5"/>
    </row>
    <row r="77" customFormat="false" ht="15" hidden="false" customHeight="false" outlineLevel="0" collapsed="false">
      <c r="A77" s="6" t="s">
        <v>117</v>
      </c>
      <c r="B77" s="6" t="s">
        <v>4</v>
      </c>
      <c r="C77" s="6" t="s">
        <v>5</v>
      </c>
      <c r="D77" s="6" t="s">
        <v>118</v>
      </c>
    </row>
    <row r="78" customFormat="false" ht="22.35" hidden="false" customHeight="false" outlineLevel="0" collapsed="false">
      <c r="A78" s="14" t="s">
        <v>313</v>
      </c>
      <c r="B78" s="15" t="n">
        <f aca="false">B51+B66+B67+B73+B74</f>
        <v>182300</v>
      </c>
      <c r="C78" s="9" t="s">
        <v>12</v>
      </c>
      <c r="D78" s="10" t="s">
        <v>314</v>
      </c>
    </row>
    <row r="79" customFormat="false" ht="15" hidden="false" customHeight="false" outlineLevel="0" collapsed="false">
      <c r="A79" s="7" t="s">
        <v>315</v>
      </c>
      <c r="B79" s="28" t="n">
        <f aca="false">B78/12</f>
        <v>15191.6666666667</v>
      </c>
      <c r="C79" s="9" t="s">
        <v>20</v>
      </c>
      <c r="D79" s="10" t="s">
        <v>316</v>
      </c>
    </row>
    <row r="80" customFormat="false" ht="15" hidden="false" customHeight="false" outlineLevel="0" collapsed="false">
      <c r="A80" s="7" t="s">
        <v>317</v>
      </c>
      <c r="B80" s="20" t="n">
        <f aca="false">IFERROR(B78/B8,0)</f>
        <v>0.0520857142857143</v>
      </c>
      <c r="C80" s="9" t="s">
        <v>23</v>
      </c>
      <c r="D80" s="10" t="s">
        <v>318</v>
      </c>
    </row>
    <row r="81" customFormat="false" ht="22.35" hidden="false" customHeight="false" outlineLevel="0" collapsed="false">
      <c r="A81" s="7" t="s">
        <v>319</v>
      </c>
      <c r="B81" s="28" t="n">
        <f aca="false">MIN(B66+B67,25000)</f>
        <v>25000</v>
      </c>
      <c r="C81" s="9" t="s">
        <v>26</v>
      </c>
      <c r="D81" s="10" t="s">
        <v>320</v>
      </c>
    </row>
    <row r="83" customFormat="false" ht="19.5" hidden="false" customHeight="true" outlineLevel="0" collapsed="false">
      <c r="A83" s="4" t="s">
        <v>321</v>
      </c>
      <c r="B83" s="5"/>
      <c r="C83" s="5"/>
      <c r="D83" s="5"/>
    </row>
    <row r="84" customFormat="false" ht="23.85" hidden="false" customHeight="false" outlineLevel="0" collapsed="false">
      <c r="A84" s="33" t="s">
        <v>322</v>
      </c>
      <c r="B84" s="33" t="s">
        <v>323</v>
      </c>
      <c r="C84" s="33" t="s">
        <v>324</v>
      </c>
      <c r="D84" s="33" t="s">
        <v>118</v>
      </c>
    </row>
    <row r="85" customFormat="false" ht="22.35" hidden="false" customHeight="false" outlineLevel="0" collapsed="false">
      <c r="A85" s="34" t="n">
        <v>0</v>
      </c>
      <c r="B85" s="34" t="n">
        <f aca="false">B7+A85</f>
        <v>24</v>
      </c>
      <c r="C85" s="35" t="n">
        <f aca="false">FV(Inputs!B46,A85,0,-$B$62)</f>
        <v>12000000</v>
      </c>
      <c r="D85" s="36" t="s">
        <v>325</v>
      </c>
    </row>
    <row r="86" customFormat="false" ht="22.35" hidden="false" customHeight="false" outlineLevel="0" collapsed="false">
      <c r="A86" s="34" t="n">
        <v>5</v>
      </c>
      <c r="B86" s="34" t="n">
        <f aca="false">B7+A86</f>
        <v>29</v>
      </c>
      <c r="C86" s="35" t="n">
        <f aca="false">FV(Inputs!B46,A86,0,-$B$62)</f>
        <v>19326120</v>
      </c>
      <c r="D86" s="36" t="s">
        <v>325</v>
      </c>
    </row>
    <row r="87" customFormat="false" ht="22.35" hidden="false" customHeight="false" outlineLevel="0" collapsed="false">
      <c r="A87" s="34" t="n">
        <v>10</v>
      </c>
      <c r="B87" s="34" t="n">
        <f aca="false">B7+A87</f>
        <v>34</v>
      </c>
      <c r="C87" s="35" t="n">
        <f aca="false">FV(Inputs!B46,A87,0,-$B$62)</f>
        <v>31124909.5212</v>
      </c>
      <c r="D87" s="36" t="s">
        <v>325</v>
      </c>
    </row>
    <row r="88" customFormat="false" ht="22.35" hidden="false" customHeight="false" outlineLevel="0" collapsed="false">
      <c r="A88" s="34" t="n">
        <v>15</v>
      </c>
      <c r="B88" s="34" t="n">
        <f aca="false">B7+A88</f>
        <v>39</v>
      </c>
      <c r="C88" s="35" t="n">
        <f aca="false">FV(Inputs!B46,A88,0,-$B$62)</f>
        <v>50126978.0329879</v>
      </c>
      <c r="D88" s="36" t="s">
        <v>325</v>
      </c>
    </row>
    <row r="89" customFormat="false" ht="22.35" hidden="false" customHeight="false" outlineLevel="0" collapsed="false">
      <c r="A89" s="34" t="n">
        <v>20</v>
      </c>
      <c r="B89" s="34" t="n">
        <f aca="false">B7+A89</f>
        <v>44</v>
      </c>
      <c r="C89" s="35" t="n">
        <f aca="false">FV(Inputs!B46,A89,0,-$B$62)</f>
        <v>80729999.3919073</v>
      </c>
      <c r="D89" s="36" t="s">
        <v>325</v>
      </c>
    </row>
    <row r="90" customFormat="false" ht="22.35" hidden="false" customHeight="false" outlineLevel="0" collapsed="false">
      <c r="A90" s="34" t="n">
        <v>25</v>
      </c>
      <c r="B90" s="34" t="n">
        <f aca="false">B7+A90</f>
        <v>49</v>
      </c>
      <c r="C90" s="35" t="n">
        <f aca="false">FV(Inputs!B46,A90,0,-$B$62)</f>
        <v>130016471.320661</v>
      </c>
      <c r="D90" s="36" t="s">
        <v>325</v>
      </c>
    </row>
    <row r="91" customFormat="false" ht="22.35" hidden="false" customHeight="false" outlineLevel="0" collapsed="false">
      <c r="A91" s="34" t="n">
        <v>30</v>
      </c>
      <c r="B91" s="34" t="n">
        <f aca="false">B7+A91</f>
        <v>54</v>
      </c>
      <c r="C91" s="35" t="n">
        <f aca="false">FV(Inputs!B46,A91,0,-$B$62)</f>
        <v>209392827.226637</v>
      </c>
      <c r="D91" s="36" t="s">
        <v>325</v>
      </c>
    </row>
    <row r="92" customFormat="false" ht="22.35" hidden="false" customHeight="false" outlineLevel="0" collapsed="false">
      <c r="A92" s="34" t="n">
        <v>36</v>
      </c>
      <c r="B92" s="34" t="n">
        <f aca="false">B7+A92</f>
        <v>60</v>
      </c>
      <c r="C92" s="35" t="n">
        <f aca="false">FV(Inputs!B46,A92,0,-$B$62)</f>
        <v>370952166.394449</v>
      </c>
      <c r="D92" s="36" t="s">
        <v>325</v>
      </c>
    </row>
    <row r="94" customFormat="false" ht="27.75" hidden="false" customHeight="true" outlineLevel="0" collapsed="false">
      <c r="A94" s="3" t="s">
        <v>326</v>
      </c>
      <c r="B94" s="3"/>
      <c r="C94" s="3"/>
      <c r="D94" s="3"/>
    </row>
  </sheetData>
  <mergeCells count="2">
    <mergeCell ref="A3:D3"/>
    <mergeCell ref="A94:D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9"/>
    <col collapsed="false" customWidth="true" hidden="false" outlineLevel="0" max="4" min="4" style="0" width="15"/>
    <col collapsed="false" customWidth="true" hidden="false" outlineLevel="0" max="5" min="5" style="0" width="10"/>
    <col collapsed="false" customWidth="true" hidden="false" outlineLevel="0" max="6" min="6" style="0" width="17"/>
    <col collapsed="false" customWidth="true" hidden="false" outlineLevel="0" max="7" min="7" style="0" width="15"/>
    <col collapsed="false" customWidth="true" hidden="false" outlineLevel="0" max="8" min="8" style="0" width="10"/>
    <col collapsed="false" customWidth="true" hidden="false" outlineLevel="0" max="10" min="9" style="0" width="17"/>
    <col collapsed="false" customWidth="true" hidden="false" outlineLevel="0" max="11" min="11" style="0" width="16"/>
    <col collapsed="false" customWidth="true" hidden="false" outlineLevel="0" max="12" min="12" style="0" width="17"/>
  </cols>
  <sheetData>
    <row r="1" customFormat="false" ht="25.5" hidden="false" customHeight="true" outlineLevel="0" collapsed="false">
      <c r="A1" s="37" t="s">
        <v>327</v>
      </c>
      <c r="B1" s="2"/>
      <c r="C1" s="2"/>
      <c r="D1" s="2"/>
      <c r="E1" s="2"/>
      <c r="F1" s="2"/>
      <c r="G1" s="2"/>
      <c r="H1" s="2"/>
      <c r="I1" s="2"/>
      <c r="J1" s="2"/>
      <c r="K1" s="2"/>
      <c r="L1" s="2"/>
    </row>
    <row r="2" customFormat="false" ht="25.5" hidden="false" customHeight="true" outlineLevel="0" collapsed="false">
      <c r="A2" s="3" t="s">
        <v>328</v>
      </c>
      <c r="B2" s="3"/>
      <c r="C2" s="3"/>
      <c r="D2" s="3"/>
      <c r="E2" s="3"/>
      <c r="F2" s="3"/>
      <c r="G2" s="3"/>
      <c r="H2" s="3"/>
      <c r="I2" s="3"/>
      <c r="J2" s="3"/>
      <c r="K2" s="3"/>
      <c r="L2" s="3"/>
    </row>
    <row r="4" customFormat="false" ht="39.75" hidden="false" customHeight="true" outlineLevel="0" collapsed="false">
      <c r="A4" s="6" t="s">
        <v>329</v>
      </c>
      <c r="B4" s="6" t="s">
        <v>330</v>
      </c>
      <c r="C4" s="6" t="s">
        <v>331</v>
      </c>
      <c r="D4" s="6" t="s">
        <v>332</v>
      </c>
      <c r="E4" s="6" t="s">
        <v>333</v>
      </c>
      <c r="F4" s="6" t="s">
        <v>334</v>
      </c>
      <c r="G4" s="6" t="s">
        <v>335</v>
      </c>
      <c r="H4" s="6" t="s">
        <v>336</v>
      </c>
      <c r="I4" s="6" t="s">
        <v>337</v>
      </c>
      <c r="J4" s="6" t="s">
        <v>338</v>
      </c>
      <c r="K4" s="6" t="s">
        <v>339</v>
      </c>
      <c r="L4" s="6" t="s">
        <v>340</v>
      </c>
    </row>
    <row r="5" customFormat="false" ht="23.85" hidden="false" customHeight="false" outlineLevel="0" collapsed="false">
      <c r="A5" s="38" t="s">
        <v>341</v>
      </c>
      <c r="B5" s="39" t="s">
        <v>342</v>
      </c>
      <c r="C5" s="40" t="n">
        <v>1</v>
      </c>
      <c r="D5" s="41" t="n">
        <f aca="false">Inputs!B22*Inputs!B64</f>
        <v>450000</v>
      </c>
      <c r="E5" s="42" t="n">
        <f aca="false">Inputs!$B$45</f>
        <v>0.06</v>
      </c>
      <c r="F5" s="35" t="n">
        <f aca="false">IF($C5="","",FV($E5,$C5,0,-$D5))</f>
        <v>477000</v>
      </c>
      <c r="G5" s="41" t="n">
        <f aca="false">Inputs!B34</f>
        <v>200000</v>
      </c>
      <c r="H5" s="43" t="n">
        <v>0.065</v>
      </c>
      <c r="I5" s="35" t="n">
        <f aca="false">IF($C5="","",FV($H5,$C5,0,-$G5))</f>
        <v>213000</v>
      </c>
      <c r="J5" s="35" t="n">
        <f aca="false">IF($C5="","",MAX(0,$F5-$I5))</f>
        <v>264000</v>
      </c>
      <c r="K5" s="35" t="n">
        <f aca="false">IF($C5="","",IF($J5=0,0,-PMT($H5/12,$C5*12,0,$J5)))</f>
        <v>21352.2540775143</v>
      </c>
      <c r="L5" s="35" t="n">
        <f aca="false">IF($C5="","",$J5/(1+$H5)^$C5)</f>
        <v>247887.323943662</v>
      </c>
    </row>
    <row r="6" customFormat="false" ht="15" hidden="false" customHeight="false" outlineLevel="0" collapsed="false">
      <c r="A6" s="38" t="s">
        <v>343</v>
      </c>
      <c r="B6" s="39" t="s">
        <v>344</v>
      </c>
      <c r="C6" s="40" t="n">
        <v>2</v>
      </c>
      <c r="D6" s="44" t="n">
        <v>300000</v>
      </c>
      <c r="E6" s="42" t="n">
        <f aca="false">Inputs!$B$45</f>
        <v>0.06</v>
      </c>
      <c r="F6" s="35" t="n">
        <f aca="false">IF($C6="","",FV($E6,$C6,0,-$D6))</f>
        <v>337080</v>
      </c>
      <c r="G6" s="44" t="n">
        <v>0</v>
      </c>
      <c r="H6" s="43" t="n">
        <v>0.08</v>
      </c>
      <c r="I6" s="35" t="n">
        <f aca="false">IF($C6="","",FV($H6,$C6,0,-$G6))</f>
        <v>-0</v>
      </c>
      <c r="J6" s="35" t="n">
        <f aca="false">IF($C6="","",MAX(0,$F6-$I6))</f>
        <v>337080</v>
      </c>
      <c r="K6" s="35" t="n">
        <f aca="false">IF($C6="","",IF($J6=0,0,-PMT($H6/12,$C6*12,0,$J6)))</f>
        <v>12998.0154040506</v>
      </c>
      <c r="L6" s="35" t="n">
        <f aca="false">IF($C6="","",$J6/(1+$H6)^$C6)</f>
        <v>288991.769547325</v>
      </c>
    </row>
    <row r="7" customFormat="false" ht="15" hidden="false" customHeight="false" outlineLevel="0" collapsed="false">
      <c r="A7" s="38" t="s">
        <v>345</v>
      </c>
      <c r="B7" s="39" t="s">
        <v>346</v>
      </c>
      <c r="C7" s="40" t="n">
        <v>5</v>
      </c>
      <c r="D7" s="44" t="n">
        <v>1000000</v>
      </c>
      <c r="E7" s="42" t="n">
        <f aca="false">Inputs!$B$47</f>
        <v>0.08</v>
      </c>
      <c r="F7" s="35" t="n">
        <f aca="false">IF($C7="","",FV($E7,$C7,0,-$D7))</f>
        <v>1469328.0768</v>
      </c>
      <c r="G7" s="44" t="n">
        <v>0</v>
      </c>
      <c r="H7" s="43" t="n">
        <v>0.1</v>
      </c>
      <c r="I7" s="35" t="n">
        <f aca="false">IF($C7="","",FV($H7,$C7,0,-$G7))</f>
        <v>-0</v>
      </c>
      <c r="J7" s="35" t="n">
        <f aca="false">IF($C7="","",MAX(0,$F7-$I7))</f>
        <v>1469328.0768</v>
      </c>
      <c r="K7" s="35" t="n">
        <f aca="false">IF($C7="","",IF($J7=0,0,-PMT($H7/12,$C7*12,0,$J7)))</f>
        <v>18974.4787032914</v>
      </c>
      <c r="L7" s="35" t="n">
        <f aca="false">IF($C7="","",$J7/(1+$H7)^$C7)</f>
        <v>912337.13345462</v>
      </c>
    </row>
    <row r="8" customFormat="false" ht="15" hidden="false" customHeight="false" outlineLevel="0" collapsed="false">
      <c r="A8" s="38" t="s">
        <v>347</v>
      </c>
      <c r="B8" s="39" t="s">
        <v>346</v>
      </c>
      <c r="C8" s="40" t="n">
        <v>5</v>
      </c>
      <c r="D8" s="44" t="n">
        <v>1500000</v>
      </c>
      <c r="E8" s="42" t="n">
        <f aca="false">Inputs!$B$45</f>
        <v>0.06</v>
      </c>
      <c r="F8" s="35" t="n">
        <f aca="false">IF($C8="","",FV($E8,$C8,0,-$D8))</f>
        <v>2007338.3664</v>
      </c>
      <c r="G8" s="44" t="n">
        <v>0</v>
      </c>
      <c r="H8" s="43" t="n">
        <v>0.1</v>
      </c>
      <c r="I8" s="35" t="n">
        <f aca="false">IF($C8="","",FV($H8,$C8,0,-$G8))</f>
        <v>-0</v>
      </c>
      <c r="J8" s="35" t="n">
        <f aca="false">IF($C8="","",MAX(0,$F8-$I8))</f>
        <v>2007338.3664</v>
      </c>
      <c r="K8" s="35" t="n">
        <f aca="false">IF($C8="","",IF($J8=0,0,-PMT($H8/12,$C8*12,0,$J8)))</f>
        <v>25922.188301545</v>
      </c>
      <c r="L8" s="35" t="n">
        <f aca="false">IF($C8="","",$J8/(1+$H8)^$C8)</f>
        <v>1246399.19429249</v>
      </c>
    </row>
    <row r="9" customFormat="false" ht="23.85" hidden="false" customHeight="false" outlineLevel="0" collapsed="false">
      <c r="A9" s="38" t="s">
        <v>348</v>
      </c>
      <c r="B9" s="39" t="s">
        <v>349</v>
      </c>
      <c r="C9" s="40" t="n">
        <v>7</v>
      </c>
      <c r="D9" s="44" t="n">
        <v>1000000</v>
      </c>
      <c r="E9" s="42" t="n">
        <f aca="false">Inputs!$B$45</f>
        <v>0.06</v>
      </c>
      <c r="F9" s="35" t="n">
        <f aca="false">IF($C9="","",FV($E9,$C9,0,-$D9))</f>
        <v>1503630.25899136</v>
      </c>
      <c r="G9" s="44" t="n">
        <v>0</v>
      </c>
      <c r="H9" s="43" t="n">
        <v>0.11</v>
      </c>
      <c r="I9" s="35" t="n">
        <f aca="false">IF($C9="","",FV($H9,$C9,0,-$G9))</f>
        <v>-0</v>
      </c>
      <c r="J9" s="35" t="n">
        <f aca="false">IF($C9="","",MAX(0,$F9-$I9))</f>
        <v>1503630.25899136</v>
      </c>
      <c r="K9" s="35" t="n">
        <f aca="false">IF($C9="","",IF($J9=0,0,-PMT($H9/12,$C9*12,0,$J9)))</f>
        <v>11962.5361570825</v>
      </c>
      <c r="L9" s="35" t="n">
        <f aca="false">IF($C9="","",$J9/(1+$H9)^$C9)</f>
        <v>724236.161113106</v>
      </c>
    </row>
    <row r="10" customFormat="false" ht="23.85" hidden="false" customHeight="false" outlineLevel="0" collapsed="false">
      <c r="A10" s="38" t="s">
        <v>350</v>
      </c>
      <c r="B10" s="39" t="s">
        <v>346</v>
      </c>
      <c r="C10" s="40" t="n">
        <v>10</v>
      </c>
      <c r="D10" s="44" t="n">
        <v>3000000</v>
      </c>
      <c r="E10" s="43" t="n">
        <v>0.07</v>
      </c>
      <c r="F10" s="35" t="n">
        <f aca="false">IF($C10="","",FV($E10,$C10,0,-$D10))</f>
        <v>5901454.0718687</v>
      </c>
      <c r="G10" s="44" t="n">
        <v>0</v>
      </c>
      <c r="H10" s="43" t="n">
        <v>0.11</v>
      </c>
      <c r="I10" s="35" t="n">
        <f aca="false">IF($C10="","",FV($H10,$C10,0,-$G10))</f>
        <v>-0</v>
      </c>
      <c r="J10" s="35" t="n">
        <f aca="false">IF($C10="","",MAX(0,$F10-$I10))</f>
        <v>5901454.0718687</v>
      </c>
      <c r="K10" s="35" t="n">
        <f aca="false">IF($C10="","",IF($J10=0,0,-PMT($H10/12,$C10*12,0,$J10)))</f>
        <v>27195.8741784045</v>
      </c>
      <c r="L10" s="35" t="n">
        <f aca="false">IF($C10="","",$J10/(1+$H10)^$C10)</f>
        <v>2078400.52631253</v>
      </c>
    </row>
    <row r="11" customFormat="false" ht="23.85" hidden="false" customHeight="false" outlineLevel="0" collapsed="false">
      <c r="A11" s="38" t="s">
        <v>351</v>
      </c>
      <c r="B11" s="39" t="s">
        <v>346</v>
      </c>
      <c r="C11" s="40" t="n">
        <v>22</v>
      </c>
      <c r="D11" s="44" t="n">
        <v>3000000</v>
      </c>
      <c r="E11" s="42" t="n">
        <f aca="false">Inputs!$B$47</f>
        <v>0.08</v>
      </c>
      <c r="F11" s="35" t="n">
        <f aca="false">IF($C11="","",FV($E11,$C11,0,-$D11))</f>
        <v>16309621.2377575</v>
      </c>
      <c r="G11" s="44" t="n">
        <v>0</v>
      </c>
      <c r="H11" s="43" t="n">
        <v>0.12</v>
      </c>
      <c r="I11" s="35" t="n">
        <f aca="false">IF($C11="","",FV($H11,$C11,0,-$G11))</f>
        <v>-0</v>
      </c>
      <c r="J11" s="35" t="n">
        <f aca="false">IF($C11="","",MAX(0,$F11-$I11))</f>
        <v>16309621.2377575</v>
      </c>
      <c r="K11" s="35" t="n">
        <f aca="false">IF($C11="","",IF($J11=0,0,-PMT($H11/12,$C11*12,0,$J11)))</f>
        <v>12711.4508596341</v>
      </c>
      <c r="L11" s="35" t="n">
        <f aca="false">IF($C11="","",$J11/(1+$H11)^$C11)</f>
        <v>1347868.04321557</v>
      </c>
    </row>
    <row r="12" customFormat="false" ht="15" hidden="false" customHeight="false" outlineLevel="0" collapsed="false">
      <c r="A12" s="38" t="s">
        <v>352</v>
      </c>
      <c r="B12" s="39" t="s">
        <v>349</v>
      </c>
      <c r="C12" s="40" t="n">
        <v>26</v>
      </c>
      <c r="D12" s="44" t="n">
        <v>4000000</v>
      </c>
      <c r="E12" s="42" t="n">
        <f aca="false">Inputs!$B$47</f>
        <v>0.08</v>
      </c>
      <c r="F12" s="35" t="n">
        <f aca="false">IF($C12="","",FV($E12,$C12,0,-$D12))</f>
        <v>29585412.8476675</v>
      </c>
      <c r="G12" s="44" t="n">
        <v>0</v>
      </c>
      <c r="H12" s="43" t="n">
        <v>0.12</v>
      </c>
      <c r="I12" s="35" t="n">
        <f aca="false">IF($C12="","",FV($H12,$C12,0,-$G12))</f>
        <v>-0</v>
      </c>
      <c r="J12" s="35" t="n">
        <f aca="false">IF($C12="","",MAX(0,$F12-$I12))</f>
        <v>29585412.8476675</v>
      </c>
      <c r="K12" s="35" t="n">
        <f aca="false">IF($C12="","",IF($J12=0,0,-PMT($H12/12,$C12*12,0,$J12)))</f>
        <v>13891.0788027378</v>
      </c>
      <c r="L12" s="35" t="n">
        <f aca="false">IF($C12="","",$J12/(1+$H12)^$C12)</f>
        <v>1553849.82983333</v>
      </c>
    </row>
    <row r="13" customFormat="false" ht="15" hidden="false" customHeight="false" outlineLevel="0" collapsed="false">
      <c r="A13" s="38" t="s">
        <v>353</v>
      </c>
      <c r="B13" s="39" t="s">
        <v>349</v>
      </c>
      <c r="C13" s="40" t="n">
        <v>30</v>
      </c>
      <c r="D13" s="44" t="n">
        <v>2500000</v>
      </c>
      <c r="E13" s="42" t="n">
        <f aca="false">Inputs!$B$45</f>
        <v>0.06</v>
      </c>
      <c r="F13" s="35" t="n">
        <f aca="false">IF($C13="","",FV($E13,$C13,0,-$D13))</f>
        <v>14358727.9322831</v>
      </c>
      <c r="G13" s="44" t="n">
        <v>0</v>
      </c>
      <c r="H13" s="43" t="n">
        <v>0.12</v>
      </c>
      <c r="I13" s="35" t="n">
        <f aca="false">IF($C13="","",FV($H13,$C13,0,-$G13))</f>
        <v>-0</v>
      </c>
      <c r="J13" s="35" t="n">
        <f aca="false">IF($C13="","",MAX(0,$F13-$I13))</f>
        <v>14358727.9322831</v>
      </c>
      <c r="K13" s="35" t="n">
        <f aca="false">IF($C13="","",IF($J13=0,0,-PMT($H13/12,$C13*12,0,$J13)))</f>
        <v>4108.40494689399</v>
      </c>
      <c r="L13" s="35" t="n">
        <f aca="false">IF($C13="","",$J13/(1+$H13)^$C13)</f>
        <v>479264.527936178</v>
      </c>
    </row>
    <row r="14" customFormat="false" ht="15" hidden="false" customHeight="false" outlineLevel="0" collapsed="false">
      <c r="A14" s="38"/>
      <c r="B14" s="39"/>
      <c r="C14" s="40"/>
      <c r="D14" s="41"/>
      <c r="E14" s="42"/>
      <c r="F14" s="35" t="str">
        <f aca="false">IF($C14="","",FV($E14,$C14,0,-$D14))</f>
        <v/>
      </c>
      <c r="G14" s="41"/>
      <c r="H14" s="43"/>
      <c r="I14" s="35" t="str">
        <f aca="false">IF($C14="","",FV($H14,$C14,0,-$G14))</f>
        <v/>
      </c>
      <c r="J14" s="35" t="str">
        <f aca="false">IF($C14="","",MAX(0,$F14-$I14))</f>
        <v/>
      </c>
      <c r="K14" s="35" t="str">
        <f aca="false">IF($C14="","",IF($J14=0,0,-PMT($H14/12,$C14*12,0,$J14)))</f>
        <v/>
      </c>
      <c r="L14" s="35" t="str">
        <f aca="false">IF($C14="","",$J14/(1+$H14)^$C14)</f>
        <v/>
      </c>
    </row>
    <row r="15" customFormat="false" ht="15" hidden="false" customHeight="false" outlineLevel="0" collapsed="false">
      <c r="A15" s="38"/>
      <c r="B15" s="39"/>
      <c r="C15" s="40"/>
      <c r="D15" s="41"/>
      <c r="E15" s="42"/>
      <c r="F15" s="35" t="str">
        <f aca="false">IF($C15="","",FV($E15,$C15,0,-$D15))</f>
        <v/>
      </c>
      <c r="G15" s="41"/>
      <c r="H15" s="43"/>
      <c r="I15" s="35" t="str">
        <f aca="false">IF($C15="","",FV($H15,$C15,0,-$G15))</f>
        <v/>
      </c>
      <c r="J15" s="35" t="str">
        <f aca="false">IF($C15="","",MAX(0,$F15-$I15))</f>
        <v/>
      </c>
      <c r="K15" s="35" t="str">
        <f aca="false">IF($C15="","",IF($J15=0,0,-PMT($H15/12,$C15*12,0,$J15)))</f>
        <v/>
      </c>
      <c r="L15" s="35" t="str">
        <f aca="false">IF($C15="","",$J15/(1+$H15)^$C15)</f>
        <v/>
      </c>
    </row>
    <row r="16" customFormat="false" ht="15" hidden="false" customHeight="false" outlineLevel="0" collapsed="false">
      <c r="A16" s="38"/>
      <c r="B16" s="39"/>
      <c r="C16" s="40"/>
      <c r="D16" s="41"/>
      <c r="E16" s="42"/>
      <c r="F16" s="35" t="str">
        <f aca="false">IF($C16="","",FV($E16,$C16,0,-$D16))</f>
        <v/>
      </c>
      <c r="G16" s="41"/>
      <c r="H16" s="43"/>
      <c r="I16" s="35" t="str">
        <f aca="false">IF($C16="","",FV($H16,$C16,0,-$G16))</f>
        <v/>
      </c>
      <c r="J16" s="35" t="str">
        <f aca="false">IF($C16="","",MAX(0,$F16-$I16))</f>
        <v/>
      </c>
      <c r="K16" s="35" t="str">
        <f aca="false">IF($C16="","",IF($J16=0,0,-PMT($H16/12,$C16*12,0,$J16)))</f>
        <v/>
      </c>
      <c r="L16" s="35" t="str">
        <f aca="false">IF($C16="","",$J16/(1+$H16)^$C16)</f>
        <v/>
      </c>
    </row>
    <row r="17" customFormat="false" ht="15" hidden="false" customHeight="false" outlineLevel="0" collapsed="false">
      <c r="A17" s="45" t="s">
        <v>354</v>
      </c>
      <c r="B17" s="46"/>
      <c r="C17" s="46"/>
      <c r="D17" s="47" t="n">
        <f aca="false">SUM(D5:D16)</f>
        <v>16750000</v>
      </c>
      <c r="E17" s="46"/>
      <c r="F17" s="47" t="n">
        <f aca="false">SUM(F5:F16)</f>
        <v>71949592.7917682</v>
      </c>
      <c r="G17" s="47" t="n">
        <f aca="false">SUM(G5:G16)</f>
        <v>200000</v>
      </c>
      <c r="H17" s="46"/>
      <c r="I17" s="47" t="n">
        <f aca="false">SUM(I5:I16)</f>
        <v>213000</v>
      </c>
      <c r="J17" s="47" t="n">
        <f aca="false">SUM(J5:J16)</f>
        <v>71736592.7917682</v>
      </c>
      <c r="K17" s="47" t="n">
        <f aca="false">SUM(K5:K16)</f>
        <v>149116.281431154</v>
      </c>
      <c r="L17" s="47" t="n">
        <f aca="false">SUM(L5:L16)</f>
        <v>8879234.50964881</v>
      </c>
    </row>
    <row r="19" customFormat="false" ht="15" hidden="false" customHeight="false" outlineLevel="0" collapsed="false">
      <c r="A19" s="48" t="s">
        <v>355</v>
      </c>
    </row>
    <row r="20" customFormat="false" ht="64.15" hidden="false" customHeight="false" outlineLevel="0" collapsed="false">
      <c r="A20" s="49" t="s">
        <v>356</v>
      </c>
      <c r="B20" s="50" t="n">
        <f aca="false">Inputs!B26</f>
        <v>128558.333333333</v>
      </c>
      <c r="C20" s="22"/>
      <c r="D20" s="36" t="s">
        <v>357</v>
      </c>
    </row>
    <row r="21" customFormat="false" ht="85.05" hidden="false" customHeight="false" outlineLevel="0" collapsed="false">
      <c r="A21" s="49" t="s">
        <v>358</v>
      </c>
      <c r="B21" s="50" t="n">
        <f aca="false">K17</f>
        <v>149116.281431154</v>
      </c>
      <c r="C21" s="22"/>
      <c r="D21" s="36" t="s">
        <v>359</v>
      </c>
    </row>
    <row r="22" customFormat="false" ht="126.85" hidden="false" customHeight="false" outlineLevel="0" collapsed="false">
      <c r="A22" s="49" t="s">
        <v>360</v>
      </c>
      <c r="B22" s="50" t="n">
        <f aca="false">SUMIF($B$5:$B$16,"Critical",$K$5:$K$16)+SUMIF($B$5:$B$16,"High",$K$5:$K$16)</f>
        <v>106156.246120389</v>
      </c>
      <c r="C22" s="22"/>
      <c r="D22" s="36" t="s">
        <v>361</v>
      </c>
    </row>
    <row r="23" customFormat="false" ht="85.05" hidden="false" customHeight="false" outlineLevel="0" collapsed="false">
      <c r="A23" s="49" t="s">
        <v>362</v>
      </c>
      <c r="B23" s="50" t="n">
        <f aca="false">B21-B22</f>
        <v>42960.0353107648</v>
      </c>
      <c r="C23" s="22"/>
      <c r="D23" s="36" t="s">
        <v>363</v>
      </c>
    </row>
    <row r="24" customFormat="false" ht="74.6" hidden="false" customHeight="false" outlineLevel="0" collapsed="false">
      <c r="A24" s="49" t="s">
        <v>364</v>
      </c>
      <c r="B24" s="50" t="n">
        <f aca="false">Retirement!B49</f>
        <v>8468.27048487619</v>
      </c>
      <c r="C24" s="22"/>
      <c r="D24" s="36" t="s">
        <v>365</v>
      </c>
    </row>
    <row r="25" customFormat="false" ht="74.6" hidden="false" customHeight="false" outlineLevel="0" collapsed="false">
      <c r="A25" s="49" t="s">
        <v>366</v>
      </c>
      <c r="B25" s="47" t="n">
        <f aca="false">B22+B24</f>
        <v>114624.516605266</v>
      </c>
      <c r="C25" s="22"/>
      <c r="D25" s="36" t="s">
        <v>367</v>
      </c>
    </row>
    <row r="26" customFormat="false" ht="116.4" hidden="false" customHeight="false" outlineLevel="0" collapsed="false">
      <c r="A26" s="49" t="s">
        <v>368</v>
      </c>
      <c r="B26" s="47" t="n">
        <f aca="false">B20-B25</f>
        <v>13933.8167280678</v>
      </c>
      <c r="C26" s="22"/>
      <c r="D26" s="36" t="s">
        <v>369</v>
      </c>
    </row>
    <row r="27" customFormat="false" ht="53.7" hidden="false" customHeight="false" outlineLevel="0" collapsed="false">
      <c r="A27" s="49" t="s">
        <v>370</v>
      </c>
      <c r="B27" s="51" t="n">
        <f aca="false">IFERROR(B25/B20,0)</f>
        <v>0.891614830662596</v>
      </c>
      <c r="C27" s="22"/>
      <c r="D27" s="36" t="s">
        <v>371</v>
      </c>
    </row>
    <row r="28" customFormat="false" ht="105.95" hidden="false" customHeight="false" outlineLevel="0" collapsed="false">
      <c r="A28" s="49" t="s">
        <v>372</v>
      </c>
      <c r="B28" s="50" t="n">
        <f aca="false">B20-B21-B24</f>
        <v>-29026.218582697</v>
      </c>
      <c r="C28" s="22"/>
      <c r="D28" s="36" t="s">
        <v>373</v>
      </c>
    </row>
    <row r="30" customFormat="false" ht="30" hidden="false" customHeight="true" outlineLevel="0" collapsed="false">
      <c r="A30" s="52" t="s">
        <v>374</v>
      </c>
      <c r="B30" s="52"/>
      <c r="C30" s="52"/>
      <c r="D30" s="52"/>
      <c r="E30" s="52"/>
      <c r="F30" s="52"/>
      <c r="G30" s="52"/>
      <c r="H30" s="52"/>
      <c r="I30" s="52"/>
      <c r="J30" s="52"/>
      <c r="K30" s="52"/>
      <c r="L30" s="52"/>
    </row>
    <row r="33" customFormat="false" ht="15" hidden="false" customHeight="false" outlineLevel="0" collapsed="false">
      <c r="A33" s="48" t="s">
        <v>375</v>
      </c>
    </row>
    <row r="34" customFormat="false" ht="30" hidden="false" customHeight="true" outlineLevel="0" collapsed="false">
      <c r="A34" s="53" t="s">
        <v>376</v>
      </c>
      <c r="B34" s="54" t="s">
        <v>377</v>
      </c>
      <c r="C34" s="54"/>
      <c r="D34" s="54"/>
      <c r="E34" s="55" t="s">
        <v>378</v>
      </c>
      <c r="F34" s="55"/>
      <c r="G34" s="55"/>
      <c r="H34" s="55"/>
      <c r="I34" s="55"/>
      <c r="J34" s="55"/>
      <c r="K34" s="55"/>
      <c r="L34" s="55"/>
    </row>
    <row r="35" customFormat="false" ht="30" hidden="false" customHeight="true" outlineLevel="0" collapsed="false">
      <c r="A35" s="53" t="s">
        <v>379</v>
      </c>
      <c r="B35" s="54" t="s">
        <v>380</v>
      </c>
      <c r="C35" s="54"/>
      <c r="D35" s="54"/>
      <c r="E35" s="55" t="s">
        <v>381</v>
      </c>
      <c r="F35" s="55"/>
      <c r="G35" s="55"/>
      <c r="H35" s="55"/>
      <c r="I35" s="55"/>
      <c r="J35" s="55"/>
      <c r="K35" s="55"/>
      <c r="L35" s="55"/>
    </row>
    <row r="36" customFormat="false" ht="30" hidden="false" customHeight="true" outlineLevel="0" collapsed="false">
      <c r="A36" s="53" t="s">
        <v>382</v>
      </c>
      <c r="B36" s="54" t="s">
        <v>383</v>
      </c>
      <c r="C36" s="54"/>
      <c r="D36" s="54"/>
      <c r="E36" s="55" t="s">
        <v>384</v>
      </c>
      <c r="F36" s="55"/>
      <c r="G36" s="55"/>
      <c r="H36" s="55"/>
      <c r="I36" s="55"/>
      <c r="J36" s="55"/>
      <c r="K36" s="55"/>
      <c r="L36" s="55"/>
    </row>
    <row r="37" customFormat="false" ht="30" hidden="false" customHeight="true" outlineLevel="0" collapsed="false">
      <c r="A37" s="53" t="s">
        <v>385</v>
      </c>
      <c r="B37" s="54" t="s">
        <v>386</v>
      </c>
      <c r="C37" s="54"/>
      <c r="D37" s="54"/>
      <c r="E37" s="55" t="s">
        <v>387</v>
      </c>
      <c r="F37" s="55"/>
      <c r="G37" s="55"/>
      <c r="H37" s="55"/>
      <c r="I37" s="55"/>
      <c r="J37" s="55"/>
      <c r="K37" s="55"/>
      <c r="L37" s="55"/>
    </row>
    <row r="38" customFormat="false" ht="30" hidden="false" customHeight="true" outlineLevel="0" collapsed="false">
      <c r="A38" s="53" t="s">
        <v>388</v>
      </c>
      <c r="B38" s="54" t="s">
        <v>389</v>
      </c>
      <c r="C38" s="54"/>
      <c r="D38" s="54"/>
      <c r="E38" s="55" t="s">
        <v>390</v>
      </c>
      <c r="F38" s="55"/>
      <c r="G38" s="55"/>
      <c r="H38" s="55"/>
      <c r="I38" s="55"/>
      <c r="J38" s="55"/>
      <c r="K38" s="55"/>
      <c r="L38" s="55"/>
    </row>
    <row r="39" customFormat="false" ht="30" hidden="false" customHeight="true" outlineLevel="0" collapsed="false">
      <c r="A39" s="53" t="s">
        <v>391</v>
      </c>
      <c r="B39" s="54" t="s">
        <v>392</v>
      </c>
      <c r="C39" s="54"/>
      <c r="D39" s="54"/>
      <c r="E39" s="55" t="s">
        <v>393</v>
      </c>
      <c r="F39" s="55"/>
      <c r="G39" s="55"/>
      <c r="H39" s="55"/>
      <c r="I39" s="55"/>
      <c r="J39" s="55"/>
      <c r="K39" s="55"/>
      <c r="L39" s="55"/>
    </row>
  </sheetData>
  <mergeCells count="14">
    <mergeCell ref="A2:L2"/>
    <mergeCell ref="A30:L30"/>
    <mergeCell ref="B34:D34"/>
    <mergeCell ref="E34:L34"/>
    <mergeCell ref="B35:D35"/>
    <mergeCell ref="E35:L35"/>
    <mergeCell ref="B36:D36"/>
    <mergeCell ref="E36:L36"/>
    <mergeCell ref="B37:D37"/>
    <mergeCell ref="E37:L37"/>
    <mergeCell ref="B38:D38"/>
    <mergeCell ref="E38:L38"/>
    <mergeCell ref="B39:D39"/>
    <mergeCell ref="E39:L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4"/>
    <col collapsed="false" customWidth="true" hidden="false" outlineLevel="0" max="4" min="4" style="0" width="78"/>
  </cols>
  <sheetData>
    <row r="1" customFormat="false" ht="25.5" hidden="false" customHeight="true" outlineLevel="0" collapsed="false">
      <c r="A1" s="1" t="s">
        <v>394</v>
      </c>
      <c r="B1" s="2"/>
      <c r="C1" s="2"/>
      <c r="D1" s="2"/>
    </row>
    <row r="3" customFormat="false" ht="27.75" hidden="false" customHeight="true" outlineLevel="0" collapsed="false">
      <c r="A3" s="3" t="s">
        <v>395</v>
      </c>
      <c r="B3" s="3"/>
      <c r="C3" s="3"/>
      <c r="D3" s="3"/>
    </row>
    <row r="5" customFormat="false" ht="19.5" hidden="false" customHeight="true" outlineLevel="0" collapsed="false">
      <c r="A5" s="4" t="s">
        <v>396</v>
      </c>
      <c r="B5" s="5"/>
      <c r="C5" s="5"/>
      <c r="D5" s="5"/>
    </row>
    <row r="6" customFormat="false" ht="15" hidden="false" customHeight="false" outlineLevel="0" collapsed="false">
      <c r="A6" s="6" t="s">
        <v>117</v>
      </c>
      <c r="B6" s="6" t="s">
        <v>4</v>
      </c>
      <c r="C6" s="6" t="s">
        <v>5</v>
      </c>
      <c r="D6" s="6" t="s">
        <v>118</v>
      </c>
    </row>
    <row r="7" customFormat="false" ht="15" hidden="false" customHeight="false" outlineLevel="0" collapsed="false">
      <c r="A7" s="7" t="s">
        <v>126</v>
      </c>
      <c r="B7" s="13" t="n">
        <f aca="false">Inputs!B9</f>
        <v>24</v>
      </c>
      <c r="C7" s="9" t="s">
        <v>10</v>
      </c>
      <c r="D7" s="10" t="s">
        <v>219</v>
      </c>
    </row>
    <row r="8" customFormat="false" ht="15" hidden="false" customHeight="false" outlineLevel="0" collapsed="false">
      <c r="A8" s="7" t="s">
        <v>397</v>
      </c>
      <c r="B8" s="13" t="n">
        <f aca="false">Inputs!B10</f>
        <v>60</v>
      </c>
      <c r="C8" s="9" t="s">
        <v>10</v>
      </c>
      <c r="D8" s="10" t="s">
        <v>219</v>
      </c>
    </row>
    <row r="9" customFormat="false" ht="15" hidden="false" customHeight="false" outlineLevel="0" collapsed="false">
      <c r="A9" s="7" t="s">
        <v>130</v>
      </c>
      <c r="B9" s="13" t="n">
        <f aca="false">Inputs!B11</f>
        <v>85</v>
      </c>
      <c r="C9" s="9" t="s">
        <v>10</v>
      </c>
      <c r="D9" s="10" t="s">
        <v>219</v>
      </c>
    </row>
    <row r="10" customFormat="false" ht="22.35" hidden="false" customHeight="false" outlineLevel="0" collapsed="false">
      <c r="A10" s="7" t="s">
        <v>398</v>
      </c>
      <c r="B10" s="13" t="n">
        <f aca="false">Inputs!B60</f>
        <v>36</v>
      </c>
      <c r="C10" s="9" t="s">
        <v>10</v>
      </c>
      <c r="D10" s="10" t="s">
        <v>399</v>
      </c>
    </row>
    <row r="11" customFormat="false" ht="15" hidden="false" customHeight="false" outlineLevel="0" collapsed="false">
      <c r="A11" s="7" t="s">
        <v>400</v>
      </c>
      <c r="B11" s="13" t="n">
        <f aca="false">Inputs!B62</f>
        <v>25</v>
      </c>
      <c r="C11" s="9" t="s">
        <v>10</v>
      </c>
      <c r="D11" s="10" t="s">
        <v>401</v>
      </c>
    </row>
    <row r="12" customFormat="false" ht="15" hidden="false" customHeight="false" outlineLevel="0" collapsed="false">
      <c r="A12" s="7" t="s">
        <v>402</v>
      </c>
      <c r="B12" s="12" t="n">
        <f aca="false">Inputs!B45</f>
        <v>0.06</v>
      </c>
      <c r="C12" s="9" t="s">
        <v>23</v>
      </c>
      <c r="D12" s="10" t="s">
        <v>219</v>
      </c>
    </row>
    <row r="13" customFormat="false" ht="15" hidden="false" customHeight="false" outlineLevel="0" collapsed="false">
      <c r="A13" s="7" t="s">
        <v>192</v>
      </c>
      <c r="B13" s="12" t="n">
        <f aca="false">Inputs!B51</f>
        <v>0.1075</v>
      </c>
      <c r="C13" s="9" t="s">
        <v>23</v>
      </c>
      <c r="D13" s="10" t="s">
        <v>219</v>
      </c>
    </row>
    <row r="14" customFormat="false" ht="15" hidden="false" customHeight="false" outlineLevel="0" collapsed="false">
      <c r="A14" s="7" t="s">
        <v>403</v>
      </c>
      <c r="B14" s="12" t="n">
        <f aca="false">Inputs!B52</f>
        <v>0.075</v>
      </c>
      <c r="C14" s="9" t="s">
        <v>23</v>
      </c>
      <c r="D14" s="10" t="s">
        <v>219</v>
      </c>
    </row>
    <row r="15" customFormat="false" ht="22.35" hidden="false" customHeight="false" outlineLevel="0" collapsed="false">
      <c r="A15" s="7" t="s">
        <v>404</v>
      </c>
      <c r="B15" s="12" t="n">
        <f aca="false">Inputs!B55</f>
        <v>0.0141509433962264</v>
      </c>
      <c r="C15" s="9" t="s">
        <v>23</v>
      </c>
      <c r="D15" s="10" t="s">
        <v>405</v>
      </c>
    </row>
    <row r="16" customFormat="false" ht="15" hidden="false" customHeight="false" outlineLevel="0" collapsed="false">
      <c r="A16" s="7" t="s">
        <v>196</v>
      </c>
      <c r="B16" s="12" t="n">
        <f aca="false">Inputs!B53</f>
        <v>0.1</v>
      </c>
      <c r="C16" s="9" t="s">
        <v>23</v>
      </c>
      <c r="D16" s="10" t="s">
        <v>219</v>
      </c>
    </row>
    <row r="18" customFormat="false" ht="19.5" hidden="false" customHeight="true" outlineLevel="0" collapsed="false">
      <c r="A18" s="4" t="s">
        <v>406</v>
      </c>
      <c r="B18" s="5"/>
      <c r="C18" s="5"/>
      <c r="D18" s="5"/>
    </row>
    <row r="19" customFormat="false" ht="15" hidden="false" customHeight="false" outlineLevel="0" collapsed="false">
      <c r="A19" s="6" t="s">
        <v>117</v>
      </c>
      <c r="B19" s="6" t="s">
        <v>4</v>
      </c>
      <c r="C19" s="6" t="s">
        <v>5</v>
      </c>
      <c r="D19" s="6" t="s">
        <v>118</v>
      </c>
    </row>
    <row r="20" customFormat="false" ht="15" hidden="false" customHeight="false" outlineLevel="0" collapsed="false">
      <c r="A20" s="7" t="s">
        <v>407</v>
      </c>
      <c r="B20" s="11" t="n">
        <f aca="false">Inputs!B23</f>
        <v>900000</v>
      </c>
      <c r="C20" s="9" t="s">
        <v>12</v>
      </c>
      <c r="D20" s="10" t="s">
        <v>219</v>
      </c>
    </row>
    <row r="21" customFormat="false" ht="15" hidden="false" customHeight="false" outlineLevel="0" collapsed="false">
      <c r="A21" s="7" t="s">
        <v>408</v>
      </c>
      <c r="B21" s="12" t="n">
        <f aca="false">Inputs!B63</f>
        <v>0.75</v>
      </c>
      <c r="C21" s="9" t="s">
        <v>23</v>
      </c>
      <c r="D21" s="10" t="s">
        <v>409</v>
      </c>
    </row>
    <row r="22" customFormat="false" ht="15" hidden="false" customHeight="false" outlineLevel="0" collapsed="false">
      <c r="A22" s="7" t="s">
        <v>410</v>
      </c>
      <c r="B22" s="28" t="n">
        <f aca="false">B20*B21</f>
        <v>675000</v>
      </c>
      <c r="C22" s="9" t="s">
        <v>12</v>
      </c>
      <c r="D22" s="10" t="s">
        <v>411</v>
      </c>
    </row>
    <row r="23" customFormat="false" ht="22.35" hidden="false" customHeight="false" outlineLevel="0" collapsed="false">
      <c r="A23" s="18" t="s">
        <v>412</v>
      </c>
      <c r="B23" s="19" t="n">
        <f aca="false">FV(B12,B10,0,-B22)</f>
        <v>5499395.09989949</v>
      </c>
      <c r="C23" s="9" t="s">
        <v>12</v>
      </c>
      <c r="D23" s="10" t="s">
        <v>413</v>
      </c>
    </row>
    <row r="24" customFormat="false" ht="15" hidden="false" customHeight="false" outlineLevel="0" collapsed="false">
      <c r="A24" s="7" t="s">
        <v>414</v>
      </c>
      <c r="B24" s="28" t="n">
        <f aca="false">B23/12</f>
        <v>458282.924991624</v>
      </c>
      <c r="C24" s="9" t="s">
        <v>20</v>
      </c>
      <c r="D24" s="10" t="s">
        <v>415</v>
      </c>
    </row>
    <row r="26" customFormat="false" ht="19.5" hidden="false" customHeight="true" outlineLevel="0" collapsed="false">
      <c r="A26" s="4" t="s">
        <v>416</v>
      </c>
      <c r="B26" s="5"/>
      <c r="C26" s="5"/>
      <c r="D26" s="5"/>
    </row>
    <row r="27" customFormat="false" ht="15" hidden="false" customHeight="false" outlineLevel="0" collapsed="false">
      <c r="A27" s="6" t="s">
        <v>117</v>
      </c>
      <c r="B27" s="6" t="s">
        <v>4</v>
      </c>
      <c r="C27" s="6" t="s">
        <v>5</v>
      </c>
      <c r="D27" s="6" t="s">
        <v>118</v>
      </c>
    </row>
    <row r="28" customFormat="false" ht="32.8" hidden="false" customHeight="false" outlineLevel="0" collapsed="false">
      <c r="A28" s="7" t="s">
        <v>417</v>
      </c>
      <c r="B28" s="28" t="n">
        <f aca="false">PV(B15,B11,-B23,0,1)</f>
        <v>116748419.184134</v>
      </c>
      <c r="C28" s="9" t="s">
        <v>26</v>
      </c>
      <c r="D28" s="10" t="s">
        <v>418</v>
      </c>
    </row>
    <row r="29" customFormat="false" ht="15" hidden="false" customHeight="false" outlineLevel="0" collapsed="false">
      <c r="A29" s="7" t="s">
        <v>419</v>
      </c>
      <c r="B29" s="26" t="n">
        <v>1000000</v>
      </c>
      <c r="C29" s="9" t="s">
        <v>26</v>
      </c>
      <c r="D29" s="10" t="s">
        <v>420</v>
      </c>
    </row>
    <row r="30" customFormat="false" ht="15" hidden="false" customHeight="false" outlineLevel="0" collapsed="false">
      <c r="A30" s="7" t="s">
        <v>421</v>
      </c>
      <c r="B30" s="28" t="n">
        <f aca="false">FV(Inputs!B46,B10,0,-B29)</f>
        <v>30912680.5328708</v>
      </c>
      <c r="C30" s="9" t="s">
        <v>26</v>
      </c>
      <c r="D30" s="10" t="s">
        <v>422</v>
      </c>
    </row>
    <row r="31" customFormat="false" ht="15" hidden="false" customHeight="false" outlineLevel="0" collapsed="false">
      <c r="A31" s="7" t="s">
        <v>423</v>
      </c>
      <c r="B31" s="26" t="n">
        <v>0</v>
      </c>
      <c r="C31" s="9" t="s">
        <v>26</v>
      </c>
      <c r="D31" s="10" t="s">
        <v>424</v>
      </c>
    </row>
    <row r="32" customFormat="false" ht="15" hidden="false" customHeight="false" outlineLevel="0" collapsed="false">
      <c r="A32" s="7" t="s">
        <v>425</v>
      </c>
      <c r="B32" s="28" t="n">
        <f aca="false">FV(B12,B10,0,-B31)</f>
        <v>-0</v>
      </c>
      <c r="C32" s="9" t="s">
        <v>26</v>
      </c>
      <c r="D32" s="10" t="s">
        <v>426</v>
      </c>
    </row>
    <row r="33" customFormat="false" ht="15" hidden="false" customHeight="false" outlineLevel="0" collapsed="false">
      <c r="A33" s="14" t="s">
        <v>427</v>
      </c>
      <c r="B33" s="15" t="n">
        <f aca="false">B28+B30+B32</f>
        <v>147661099.717005</v>
      </c>
      <c r="C33" s="9" t="s">
        <v>26</v>
      </c>
      <c r="D33" s="10" t="s">
        <v>428</v>
      </c>
    </row>
    <row r="34" customFormat="false" ht="22.35" hidden="false" customHeight="false" outlineLevel="0" collapsed="false">
      <c r="A34" s="7" t="s">
        <v>429</v>
      </c>
      <c r="B34" s="28" t="n">
        <f aca="false">B33/(1+B12)^B10</f>
        <v>18124037.371092</v>
      </c>
      <c r="C34" s="9" t="s">
        <v>26</v>
      </c>
      <c r="D34" s="10" t="s">
        <v>430</v>
      </c>
    </row>
    <row r="35" customFormat="false" ht="22.35" hidden="false" customHeight="false" outlineLevel="0" collapsed="false">
      <c r="A35" s="7" t="s">
        <v>431</v>
      </c>
      <c r="B35" s="28" t="n">
        <f aca="false">B23*30</f>
        <v>164981852.996985</v>
      </c>
      <c r="C35" s="9" t="s">
        <v>26</v>
      </c>
      <c r="D35" s="10" t="s">
        <v>432</v>
      </c>
    </row>
    <row r="36" customFormat="false" ht="22.35" hidden="false" customHeight="false" outlineLevel="0" collapsed="false">
      <c r="A36" s="7" t="s">
        <v>433</v>
      </c>
      <c r="B36" s="20" t="n">
        <f aca="false">IFERROR(B23/B33,0)</f>
        <v>0.0372433573259251</v>
      </c>
      <c r="C36" s="9" t="s">
        <v>23</v>
      </c>
      <c r="D36" s="10" t="s">
        <v>434</v>
      </c>
    </row>
    <row r="38" customFormat="false" ht="19.5" hidden="false" customHeight="true" outlineLevel="0" collapsed="false">
      <c r="A38" s="4" t="s">
        <v>435</v>
      </c>
      <c r="B38" s="5"/>
      <c r="C38" s="5"/>
      <c r="D38" s="5"/>
    </row>
    <row r="39" customFormat="false" ht="15" hidden="false" customHeight="false" outlineLevel="0" collapsed="false">
      <c r="A39" s="6" t="s">
        <v>117</v>
      </c>
      <c r="B39" s="6" t="s">
        <v>4</v>
      </c>
      <c r="C39" s="6" t="s">
        <v>5</v>
      </c>
      <c r="D39" s="6" t="s">
        <v>118</v>
      </c>
    </row>
    <row r="40" customFormat="false" ht="32.8" hidden="false" customHeight="false" outlineLevel="0" collapsed="false">
      <c r="A40" s="7" t="s">
        <v>436</v>
      </c>
      <c r="B40" s="11" t="n">
        <f aca="false">Inputs!B32+Inputs!B33</f>
        <v>800000</v>
      </c>
      <c r="C40" s="9" t="s">
        <v>26</v>
      </c>
      <c r="D40" s="10" t="s">
        <v>437</v>
      </c>
    </row>
    <row r="41" customFormat="false" ht="22.35" hidden="false" customHeight="false" outlineLevel="0" collapsed="false">
      <c r="A41" s="7" t="s">
        <v>438</v>
      </c>
      <c r="B41" s="28" t="n">
        <f aca="false">FV(B13,B10,0,-B40)</f>
        <v>31583804.5326692</v>
      </c>
      <c r="C41" s="9" t="s">
        <v>26</v>
      </c>
      <c r="D41" s="10" t="s">
        <v>439</v>
      </c>
    </row>
    <row r="42" customFormat="false" ht="22.35" hidden="false" customHeight="false" outlineLevel="0" collapsed="false">
      <c r="A42" s="7" t="s">
        <v>440</v>
      </c>
      <c r="B42" s="26" t="n">
        <v>0</v>
      </c>
      <c r="C42" s="9" t="s">
        <v>26</v>
      </c>
      <c r="D42" s="10" t="s">
        <v>441</v>
      </c>
    </row>
    <row r="43" customFormat="false" ht="15" hidden="false" customHeight="false" outlineLevel="0" collapsed="false">
      <c r="A43" s="7" t="s">
        <v>442</v>
      </c>
      <c r="B43" s="28" t="n">
        <f aca="false">B41+B42</f>
        <v>31583804.5326692</v>
      </c>
      <c r="C43" s="9" t="s">
        <v>26</v>
      </c>
      <c r="D43" s="10" t="s">
        <v>443</v>
      </c>
    </row>
    <row r="44" customFormat="false" ht="22.35" hidden="false" customHeight="false" outlineLevel="0" collapsed="false">
      <c r="A44" s="16" t="s">
        <v>444</v>
      </c>
      <c r="B44" s="17" t="n">
        <f aca="false">MAX(0,B33-B43)</f>
        <v>116077295.184336</v>
      </c>
      <c r="C44" s="9" t="s">
        <v>26</v>
      </c>
      <c r="D44" s="10" t="s">
        <v>445</v>
      </c>
    </row>
    <row r="46" customFormat="false" ht="19.5" hidden="false" customHeight="true" outlineLevel="0" collapsed="false">
      <c r="A46" s="4" t="s">
        <v>446</v>
      </c>
      <c r="B46" s="5"/>
      <c r="C46" s="5"/>
      <c r="D46" s="5"/>
    </row>
    <row r="47" customFormat="false" ht="15" hidden="false" customHeight="false" outlineLevel="0" collapsed="false">
      <c r="A47" s="6" t="s">
        <v>117</v>
      </c>
      <c r="B47" s="6" t="s">
        <v>4</v>
      </c>
      <c r="C47" s="6" t="s">
        <v>5</v>
      </c>
      <c r="D47" s="6" t="s">
        <v>118</v>
      </c>
    </row>
    <row r="48" customFormat="false" ht="22.35" hidden="false" customHeight="false" outlineLevel="0" collapsed="false">
      <c r="A48" s="14" t="s">
        <v>447</v>
      </c>
      <c r="B48" s="15" t="n">
        <f aca="false">IF(B44=0,0,-PMT(B13/12,B10*12,0,B44))</f>
        <v>22545.1812636349</v>
      </c>
      <c r="C48" s="9" t="s">
        <v>20</v>
      </c>
      <c r="D48" s="10" t="s">
        <v>448</v>
      </c>
    </row>
    <row r="49" customFormat="false" ht="32.8" hidden="false" customHeight="false" outlineLevel="0" collapsed="false">
      <c r="A49" s="14" t="s">
        <v>449</v>
      </c>
      <c r="B49" s="15" t="n">
        <f aca="false">IF(B44=0,0,IF(ABS(B13-B16)&lt;0.0001,B44/(B10*(1+B13)^(B10-1))/12,B44*(B13-B16)/((1+B13)^B10-(1+B16)^B10)/12))</f>
        <v>8468.27048487619</v>
      </c>
      <c r="C49" s="9" t="s">
        <v>20</v>
      </c>
      <c r="D49" s="10" t="s">
        <v>450</v>
      </c>
    </row>
    <row r="50" customFormat="false" ht="22.35" hidden="false" customHeight="false" outlineLevel="0" collapsed="false">
      <c r="A50" s="14" t="s">
        <v>451</v>
      </c>
      <c r="B50" s="15" t="n">
        <f aca="false">B44/(1+B13)^B10</f>
        <v>2940172.58280002</v>
      </c>
      <c r="C50" s="9" t="s">
        <v>26</v>
      </c>
      <c r="D50" s="10" t="s">
        <v>452</v>
      </c>
    </row>
    <row r="51" customFormat="false" ht="15" hidden="false" customHeight="false" outlineLevel="0" collapsed="false">
      <c r="A51" s="7" t="s">
        <v>453</v>
      </c>
      <c r="B51" s="20" t="n">
        <f aca="false">IFERROR(B48/Inputs!B26,0)</f>
        <v>0.175369271513333</v>
      </c>
      <c r="C51" s="9" t="s">
        <v>23</v>
      </c>
      <c r="D51" s="10" t="s">
        <v>454</v>
      </c>
    </row>
    <row r="52" customFormat="false" ht="22.35" hidden="false" customHeight="false" outlineLevel="0" collapsed="false">
      <c r="A52" s="7" t="s">
        <v>455</v>
      </c>
      <c r="B52" s="20" t="n">
        <f aca="false">IFERROR(B49/Inputs!B26,0)</f>
        <v>0.0658710350803878</v>
      </c>
      <c r="C52" s="9" t="s">
        <v>23</v>
      </c>
      <c r="D52" s="10" t="s">
        <v>456</v>
      </c>
    </row>
    <row r="53" customFormat="false" ht="23.85" hidden="false" customHeight="false" outlineLevel="0" collapsed="false">
      <c r="A53" s="7" t="s">
        <v>457</v>
      </c>
      <c r="B53" s="28" t="n">
        <f aca="false">IF(ABS(B16)&lt;0.0001,B49*12*B10,B49*12*((1+B16)^B10-1)/B16)</f>
        <v>30397040.3616048</v>
      </c>
      <c r="C53" s="9" t="s">
        <v>26</v>
      </c>
      <c r="D53" s="10" t="s">
        <v>458</v>
      </c>
    </row>
    <row r="54" customFormat="false" ht="32.8" hidden="false" customHeight="false" outlineLevel="0" collapsed="false">
      <c r="A54" s="7" t="s">
        <v>75</v>
      </c>
      <c r="B54" s="28" t="n">
        <f aca="false">MAX(0,B44-B53)</f>
        <v>85680254.8227313</v>
      </c>
      <c r="C54" s="9" t="s">
        <v>26</v>
      </c>
      <c r="D54" s="10" t="s">
        <v>459</v>
      </c>
    </row>
    <row r="56" customFormat="false" ht="19.5" hidden="false" customHeight="true" outlineLevel="0" collapsed="false">
      <c r="A56" s="4" t="s">
        <v>460</v>
      </c>
      <c r="B56" s="5"/>
      <c r="C56" s="5"/>
      <c r="D56" s="5"/>
    </row>
    <row r="57" customFormat="false" ht="35.05" hidden="false" customHeight="false" outlineLevel="0" collapsed="false">
      <c r="A57" s="33" t="s">
        <v>461</v>
      </c>
      <c r="B57" s="33" t="s">
        <v>462</v>
      </c>
      <c r="C57" s="33" t="s">
        <v>463</v>
      </c>
      <c r="D57" s="33" t="s">
        <v>118</v>
      </c>
    </row>
    <row r="58" customFormat="false" ht="22.35" hidden="false" customHeight="false" outlineLevel="0" collapsed="false">
      <c r="A58" s="34" t="n">
        <f aca="false">$B$7+0</f>
        <v>24</v>
      </c>
      <c r="B58" s="34" t="n">
        <f aca="false">$B$8-A58</f>
        <v>36</v>
      </c>
      <c r="C58" s="35" t="n">
        <f aca="false">IF(B58&lt;=0,0,$B$44*($B$13-$B$16)/((1+$B$13)^B58-(1+$B$16)^B58)/12)</f>
        <v>8468.27048487619</v>
      </c>
      <c r="D58" s="36" t="s">
        <v>464</v>
      </c>
    </row>
    <row r="59" customFormat="false" ht="22.35" hidden="false" customHeight="false" outlineLevel="0" collapsed="false">
      <c r="A59" s="34" t="n">
        <f aca="false">$B$7+3</f>
        <v>27</v>
      </c>
      <c r="B59" s="34" t="n">
        <f aca="false">$B$8-A59</f>
        <v>33</v>
      </c>
      <c r="C59" s="35" t="n">
        <f aca="false">IF(B59&lt;=0,0,$B$44*($B$13-$B$16)/((1+$B$13)^B59-(1+$B$16)^B59)/12)</f>
        <v>12426.8400013904</v>
      </c>
      <c r="D59" s="36" t="s">
        <v>464</v>
      </c>
    </row>
    <row r="60" customFormat="false" ht="22.35" hidden="false" customHeight="false" outlineLevel="0" collapsed="false">
      <c r="A60" s="34" t="n">
        <f aca="false">$B$7+5</f>
        <v>29</v>
      </c>
      <c r="B60" s="34" t="n">
        <f aca="false">$B$8-A60</f>
        <v>31</v>
      </c>
      <c r="C60" s="35" t="n">
        <f aca="false">IF(B60&lt;=0,0,$B$44*($B$13-$B$16)/((1+$B$13)^B60-(1+$B$16)^B60)/12)</f>
        <v>16119.6732865452</v>
      </c>
      <c r="D60" s="36" t="s">
        <v>464</v>
      </c>
    </row>
    <row r="61" customFormat="false" ht="22.35" hidden="false" customHeight="false" outlineLevel="0" collapsed="false">
      <c r="A61" s="34" t="n">
        <f aca="false">$B$7+10</f>
        <v>34</v>
      </c>
      <c r="B61" s="34" t="n">
        <f aca="false">$B$8-A61</f>
        <v>26</v>
      </c>
      <c r="C61" s="35" t="n">
        <f aca="false">IF(B61&lt;=0,0,$B$44*($B$13-$B$16)/((1+$B$13)^B61-(1+$B$16)^B61)/12)</f>
        <v>31500.9466360903</v>
      </c>
      <c r="D61" s="36" t="s">
        <v>464</v>
      </c>
    </row>
    <row r="62" customFormat="false" ht="22.35" hidden="false" customHeight="false" outlineLevel="0" collapsed="false">
      <c r="A62" s="34" t="n">
        <f aca="false">$B$7+15</f>
        <v>39</v>
      </c>
      <c r="B62" s="34" t="n">
        <f aca="false">$B$8-A62</f>
        <v>21</v>
      </c>
      <c r="C62" s="35" t="n">
        <f aca="false">IF(B62&lt;=0,0,$B$44*($B$13-$B$16)/((1+$B$13)^B62-(1+$B$16)^B62)/12)</f>
        <v>63916.7922962547</v>
      </c>
      <c r="D62" s="36" t="s">
        <v>464</v>
      </c>
    </row>
    <row r="64" customFormat="false" ht="27.75" hidden="false" customHeight="true" outlineLevel="0" collapsed="false">
      <c r="A64" s="3" t="s">
        <v>465</v>
      </c>
      <c r="B64" s="3"/>
      <c r="C64" s="3"/>
      <c r="D64" s="3"/>
    </row>
  </sheetData>
  <mergeCells count="2">
    <mergeCell ref="A3:D3"/>
    <mergeCell ref="A64:D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8"/>
    <col collapsed="false" customWidth="true" hidden="false" outlineLevel="0" max="3" min="3" style="0" width="15"/>
    <col collapsed="false" customWidth="true" hidden="false" outlineLevel="0" max="4" min="4" style="0" width="18"/>
    <col collapsed="false" customWidth="true" hidden="false" outlineLevel="0" max="6" min="5" style="0" width="17"/>
    <col collapsed="false" customWidth="true" hidden="false" outlineLevel="0" max="7" min="7" style="0" width="11"/>
    <col collapsed="false" customWidth="true" hidden="false" outlineLevel="0" max="8" min="8" style="0" width="17"/>
    <col collapsed="false" customWidth="true" hidden="false" outlineLevel="0" max="10" min="9" style="0" width="19"/>
  </cols>
  <sheetData>
    <row r="1" customFormat="false" ht="25.5" hidden="false" customHeight="true" outlineLevel="0" collapsed="false">
      <c r="A1" s="37" t="s">
        <v>466</v>
      </c>
      <c r="B1" s="2"/>
      <c r="C1" s="2"/>
      <c r="D1" s="2"/>
      <c r="E1" s="2"/>
      <c r="F1" s="2"/>
      <c r="G1" s="2"/>
      <c r="H1" s="2"/>
      <c r="I1" s="2"/>
      <c r="J1" s="2"/>
    </row>
    <row r="2" customFormat="false" ht="32.8" hidden="false" customHeight="true" outlineLevel="0" collapsed="false">
      <c r="A2" s="3" t="s">
        <v>467</v>
      </c>
      <c r="B2" s="3"/>
      <c r="C2" s="3"/>
      <c r="D2" s="3"/>
      <c r="E2" s="3"/>
      <c r="F2" s="3"/>
      <c r="G2" s="3"/>
      <c r="H2" s="3"/>
      <c r="I2" s="3"/>
      <c r="J2" s="3"/>
    </row>
    <row r="4" customFormat="false" ht="37.5" hidden="false" customHeight="true" outlineLevel="0" collapsed="false">
      <c r="A4" s="6" t="s">
        <v>468</v>
      </c>
      <c r="B4" s="6" t="s">
        <v>469</v>
      </c>
      <c r="C4" s="6" t="s">
        <v>470</v>
      </c>
      <c r="D4" s="6" t="s">
        <v>471</v>
      </c>
      <c r="E4" s="6" t="s">
        <v>472</v>
      </c>
      <c r="F4" s="6" t="s">
        <v>473</v>
      </c>
      <c r="G4" s="6" t="s">
        <v>474</v>
      </c>
      <c r="H4" s="6" t="s">
        <v>475</v>
      </c>
      <c r="I4" s="6" t="s">
        <v>476</v>
      </c>
      <c r="J4" s="6" t="s">
        <v>477</v>
      </c>
    </row>
    <row r="5" customFormat="false" ht="15" hidden="false" customHeight="false" outlineLevel="0" collapsed="false">
      <c r="A5" s="34" t="n">
        <v>1</v>
      </c>
      <c r="B5" s="56" t="n">
        <f aca="false">IF(Inputs!$B$9+0&gt;Inputs!$B$11,"",Inputs!$B$9+0)</f>
        <v>24</v>
      </c>
      <c r="C5" s="57" t="str">
        <f aca="false">IF($B5&gt;Inputs!$B$11,"",IF($B5&lt;Inputs!$B$10,"Accumulation","Retirement"))</f>
        <v>Accumulation</v>
      </c>
      <c r="D5" s="35" t="n">
        <f aca="false">IF($B5&gt;Inputs!$B$11,"",Retirement!$B$40)</f>
        <v>800000</v>
      </c>
      <c r="E5" s="35" t="n">
        <f aca="false">IF($B5&gt;Inputs!$B$11,"",IF($B5&gt;=Inputs!$B$10,0,Retirement!$B$49*12*(1+Inputs!$B$53)^(A5-1)))</f>
        <v>101619.245818514</v>
      </c>
      <c r="F5" s="35" t="n">
        <f aca="false">IF($B5&gt;Inputs!$B$11,"",IF($B5&lt;Inputs!$B$10,0,Retirement!$B$23*(1+Inputs!$B$45)^($B5-Inputs!$B$10)))</f>
        <v>0</v>
      </c>
      <c r="G5" s="58" t="n">
        <f aca="false">IF($B5&gt;Inputs!$B$11,"",IF($B5&lt;Inputs!$B$10,Inputs!$B$51,Inputs!$B$52))</f>
        <v>0.1075</v>
      </c>
      <c r="H5" s="35" t="n">
        <f aca="false">IF($B5&gt;Inputs!$B$11,"",(D5-F5)*G5)</f>
        <v>86000</v>
      </c>
      <c r="I5" s="35" t="n">
        <f aca="false">IF($B5&gt;Inputs!$B$11,"",D5-F5+H5+E5)</f>
        <v>987619.245818514</v>
      </c>
      <c r="J5" s="35" t="n">
        <f aca="false">IF($B5&gt;Inputs!$B$11,"",I5/(1+Inputs!$B$45)^A5)</f>
        <v>931716.269640108</v>
      </c>
    </row>
    <row r="6" customFormat="false" ht="15" hidden="false" customHeight="false" outlineLevel="0" collapsed="false">
      <c r="A6" s="59" t="n">
        <v>2</v>
      </c>
      <c r="B6" s="60" t="n">
        <f aca="false">IF(Inputs!$B$9+1&gt;Inputs!$B$11,"",Inputs!$B$9+1)</f>
        <v>25</v>
      </c>
      <c r="C6" s="61" t="str">
        <f aca="false">IF($B6&gt;Inputs!$B$11,"",IF($B6&lt;Inputs!$B$10,"Accumulation","Retirement"))</f>
        <v>Accumulation</v>
      </c>
      <c r="D6" s="62" t="n">
        <f aca="false">IF($B6&gt;Inputs!$B$11,"",I5)</f>
        <v>987619.245818514</v>
      </c>
      <c r="E6" s="62" t="n">
        <f aca="false">IF($B6&gt;Inputs!$B$11,"",IF($B6&gt;=Inputs!$B$10,0,Retirement!$B$49*12*(1+Inputs!$B$53)^(A6-1)))</f>
        <v>111781.170400366</v>
      </c>
      <c r="F6" s="62" t="n">
        <f aca="false">IF($B6&gt;Inputs!$B$11,"",IF($B6&lt;Inputs!$B$10,0,Retirement!$B$23*(1+Inputs!$B$45)^($B6-Inputs!$B$10)))</f>
        <v>0</v>
      </c>
      <c r="G6" s="63" t="n">
        <f aca="false">IF($B6&gt;Inputs!$B$11,"",IF($B6&lt;Inputs!$B$10,Inputs!$B$51,Inputs!$B$52))</f>
        <v>0.1075</v>
      </c>
      <c r="H6" s="62" t="n">
        <f aca="false">IF($B6&gt;Inputs!$B$11,"",(D6-F6)*G6)</f>
        <v>106169.06892549</v>
      </c>
      <c r="I6" s="62" t="n">
        <f aca="false">IF($B6&gt;Inputs!$B$11,"",D6-F6+H6+E6)</f>
        <v>1205569.48514437</v>
      </c>
      <c r="J6" s="62" t="n">
        <f aca="false">IF($B6&gt;Inputs!$B$11,"",I6/(1+Inputs!$B$45)^A6)</f>
        <v>1072952.54996829</v>
      </c>
    </row>
    <row r="7" customFormat="false" ht="15" hidden="false" customHeight="false" outlineLevel="0" collapsed="false">
      <c r="A7" s="34" t="n">
        <v>3</v>
      </c>
      <c r="B7" s="56" t="n">
        <f aca="false">IF(Inputs!$B$9+2&gt;Inputs!$B$11,"",Inputs!$B$9+2)</f>
        <v>26</v>
      </c>
      <c r="C7" s="57" t="str">
        <f aca="false">IF($B7&gt;Inputs!$B$11,"",IF($B7&lt;Inputs!$B$10,"Accumulation","Retirement"))</f>
        <v>Accumulation</v>
      </c>
      <c r="D7" s="35" t="n">
        <f aca="false">IF($B7&gt;Inputs!$B$11,"",I6)</f>
        <v>1205569.48514437</v>
      </c>
      <c r="E7" s="35" t="n">
        <f aca="false">IF($B7&gt;Inputs!$B$11,"",IF($B7&gt;=Inputs!$B$10,0,Retirement!$B$49*12*(1+Inputs!$B$53)^(A7-1)))</f>
        <v>122959.287440402</v>
      </c>
      <c r="F7" s="35" t="n">
        <f aca="false">IF($B7&gt;Inputs!$B$11,"",IF($B7&lt;Inputs!$B$10,0,Retirement!$B$23*(1+Inputs!$B$45)^($B7-Inputs!$B$10)))</f>
        <v>0</v>
      </c>
      <c r="G7" s="58" t="n">
        <f aca="false">IF($B7&gt;Inputs!$B$11,"",IF($B7&lt;Inputs!$B$10,Inputs!$B$51,Inputs!$B$52))</f>
        <v>0.1075</v>
      </c>
      <c r="H7" s="35" t="n">
        <f aca="false">IF($B7&gt;Inputs!$B$11,"",(D7-F7)*G7)</f>
        <v>129598.71965302</v>
      </c>
      <c r="I7" s="35" t="n">
        <f aca="false">IF($B7&gt;Inputs!$B$11,"",D7-F7+H7+E7)</f>
        <v>1458127.49223779</v>
      </c>
      <c r="J7" s="35" t="n">
        <f aca="false">IF($B7&gt;Inputs!$B$11,"",I7/(1+Inputs!$B$45)^A7)</f>
        <v>1224271.95960238</v>
      </c>
    </row>
    <row r="8" customFormat="false" ht="15" hidden="false" customHeight="false" outlineLevel="0" collapsed="false">
      <c r="A8" s="59" t="n">
        <v>4</v>
      </c>
      <c r="B8" s="60" t="n">
        <f aca="false">IF(Inputs!$B$9+3&gt;Inputs!$B$11,"",Inputs!$B$9+3)</f>
        <v>27</v>
      </c>
      <c r="C8" s="61" t="str">
        <f aca="false">IF($B8&gt;Inputs!$B$11,"",IF($B8&lt;Inputs!$B$10,"Accumulation","Retirement"))</f>
        <v>Accumulation</v>
      </c>
      <c r="D8" s="62" t="n">
        <f aca="false">IF($B8&gt;Inputs!$B$11,"",I7)</f>
        <v>1458127.49223779</v>
      </c>
      <c r="E8" s="62" t="n">
        <f aca="false">IF($B8&gt;Inputs!$B$11,"",IF($B8&gt;=Inputs!$B$10,0,Retirement!$B$49*12*(1+Inputs!$B$53)^(A8-1)))</f>
        <v>135255.216184443</v>
      </c>
      <c r="F8" s="62" t="n">
        <f aca="false">IF($B8&gt;Inputs!$B$11,"",IF($B8&lt;Inputs!$B$10,0,Retirement!$B$23*(1+Inputs!$B$45)^($B8-Inputs!$B$10)))</f>
        <v>0</v>
      </c>
      <c r="G8" s="63" t="n">
        <f aca="false">IF($B8&gt;Inputs!$B$11,"",IF($B8&lt;Inputs!$B$10,Inputs!$B$51,Inputs!$B$52))</f>
        <v>0.1075</v>
      </c>
      <c r="H8" s="62" t="n">
        <f aca="false">IF($B8&gt;Inputs!$B$11,"",(D8-F8)*G8)</f>
        <v>156748.705415563</v>
      </c>
      <c r="I8" s="62" t="n">
        <f aca="false">IF($B8&gt;Inputs!$B$11,"",D8-F8+H8+E8)</f>
        <v>1750131.4138378</v>
      </c>
      <c r="J8" s="62" t="n">
        <f aca="false">IF($B8&gt;Inputs!$B$11,"",I8/(1+Inputs!$B$45)^A8)</f>
        <v>1386268.00273472</v>
      </c>
    </row>
    <row r="9" customFormat="false" ht="15" hidden="false" customHeight="false" outlineLevel="0" collapsed="false">
      <c r="A9" s="34" t="n">
        <v>5</v>
      </c>
      <c r="B9" s="56" t="n">
        <f aca="false">IF(Inputs!$B$9+4&gt;Inputs!$B$11,"",Inputs!$B$9+4)</f>
        <v>28</v>
      </c>
      <c r="C9" s="57" t="str">
        <f aca="false">IF($B9&gt;Inputs!$B$11,"",IF($B9&lt;Inputs!$B$10,"Accumulation","Retirement"))</f>
        <v>Accumulation</v>
      </c>
      <c r="D9" s="35" t="n">
        <f aca="false">IF($B9&gt;Inputs!$B$11,"",I8)</f>
        <v>1750131.4138378</v>
      </c>
      <c r="E9" s="35" t="n">
        <f aca="false">IF($B9&gt;Inputs!$B$11,"",IF($B9&gt;=Inputs!$B$10,0,Retirement!$B$49*12*(1+Inputs!$B$53)^(A9-1)))</f>
        <v>148780.737802887</v>
      </c>
      <c r="F9" s="35" t="n">
        <f aca="false">IF($B9&gt;Inputs!$B$11,"",IF($B9&lt;Inputs!$B$10,0,Retirement!$B$23*(1+Inputs!$B$45)^($B9-Inputs!$B$10)))</f>
        <v>0</v>
      </c>
      <c r="G9" s="58" t="n">
        <f aca="false">IF($B9&gt;Inputs!$B$11,"",IF($B9&lt;Inputs!$B$10,Inputs!$B$51,Inputs!$B$52))</f>
        <v>0.1075</v>
      </c>
      <c r="H9" s="35" t="n">
        <f aca="false">IF($B9&gt;Inputs!$B$11,"",(D9-F9)*G9)</f>
        <v>188139.126987563</v>
      </c>
      <c r="I9" s="35" t="n">
        <f aca="false">IF($B9&gt;Inputs!$B$11,"",D9-F9+H9+E9)</f>
        <v>2087051.27862825</v>
      </c>
      <c r="J9" s="35" t="n">
        <f aca="false">IF($B9&gt;Inputs!$B$11,"",I9/(1+Inputs!$B$45)^A9)</f>
        <v>1559566.12514551</v>
      </c>
    </row>
    <row r="10" customFormat="false" ht="15" hidden="false" customHeight="false" outlineLevel="0" collapsed="false">
      <c r="A10" s="59" t="n">
        <v>6</v>
      </c>
      <c r="B10" s="60" t="n">
        <f aca="false">IF(Inputs!$B$9+5&gt;Inputs!$B$11,"",Inputs!$B$9+5)</f>
        <v>29</v>
      </c>
      <c r="C10" s="61" t="str">
        <f aca="false">IF($B10&gt;Inputs!$B$11,"",IF($B10&lt;Inputs!$B$10,"Accumulation","Retirement"))</f>
        <v>Accumulation</v>
      </c>
      <c r="D10" s="62" t="n">
        <f aca="false">IF($B10&gt;Inputs!$B$11,"",I9)</f>
        <v>2087051.27862825</v>
      </c>
      <c r="E10" s="62" t="n">
        <f aca="false">IF($B10&gt;Inputs!$B$11,"",IF($B10&gt;=Inputs!$B$10,0,Retirement!$B$49*12*(1+Inputs!$B$53)^(A10-1)))</f>
        <v>163658.811583175</v>
      </c>
      <c r="F10" s="62" t="n">
        <f aca="false">IF($B10&gt;Inputs!$B$11,"",IF($B10&lt;Inputs!$B$10,0,Retirement!$B$23*(1+Inputs!$B$45)^($B10-Inputs!$B$10)))</f>
        <v>0</v>
      </c>
      <c r="G10" s="63" t="n">
        <f aca="false">IF($B10&gt;Inputs!$B$11,"",IF($B10&lt;Inputs!$B$10,Inputs!$B$51,Inputs!$B$52))</f>
        <v>0.1075</v>
      </c>
      <c r="H10" s="62" t="n">
        <f aca="false">IF($B10&gt;Inputs!$B$11,"",(D10-F10)*G10)</f>
        <v>224358.012452537</v>
      </c>
      <c r="I10" s="62" t="n">
        <f aca="false">IF($B10&gt;Inputs!$B$11,"",D10-F10+H10+E10)</f>
        <v>2475068.10266396</v>
      </c>
      <c r="J10" s="62" t="n">
        <f aca="false">IF($B10&gt;Inputs!$B$11,"",I10/(1+Inputs!$B$45)^A10)</f>
        <v>1744825.34727899</v>
      </c>
    </row>
    <row r="11" customFormat="false" ht="15" hidden="false" customHeight="false" outlineLevel="0" collapsed="false">
      <c r="A11" s="34" t="n">
        <v>7</v>
      </c>
      <c r="B11" s="56" t="n">
        <f aca="false">IF(Inputs!$B$9+6&gt;Inputs!$B$11,"",Inputs!$B$9+6)</f>
        <v>30</v>
      </c>
      <c r="C11" s="57" t="str">
        <f aca="false">IF($B11&gt;Inputs!$B$11,"",IF($B11&lt;Inputs!$B$10,"Accumulation","Retirement"))</f>
        <v>Accumulation</v>
      </c>
      <c r="D11" s="35" t="n">
        <f aca="false">IF($B11&gt;Inputs!$B$11,"",I10)</f>
        <v>2475068.10266396</v>
      </c>
      <c r="E11" s="35" t="n">
        <f aca="false">IF($B11&gt;Inputs!$B$11,"",IF($B11&gt;=Inputs!$B$10,0,Retirement!$B$49*12*(1+Inputs!$B$53)^(A11-1)))</f>
        <v>180024.692741493</v>
      </c>
      <c r="F11" s="35" t="n">
        <f aca="false">IF($B11&gt;Inputs!$B$11,"",IF($B11&lt;Inputs!$B$10,0,Retirement!$B$23*(1+Inputs!$B$45)^($B11-Inputs!$B$10)))</f>
        <v>0</v>
      </c>
      <c r="G11" s="58" t="n">
        <f aca="false">IF($B11&gt;Inputs!$B$11,"",IF($B11&lt;Inputs!$B$10,Inputs!$B$51,Inputs!$B$52))</f>
        <v>0.1075</v>
      </c>
      <c r="H11" s="35" t="n">
        <f aca="false">IF($B11&gt;Inputs!$B$11,"",(D11-F11)*G11)</f>
        <v>266069.821036376</v>
      </c>
      <c r="I11" s="35" t="n">
        <f aca="false">IF($B11&gt;Inputs!$B$11,"",D11-F11+H11+E11)</f>
        <v>2921162.61644183</v>
      </c>
      <c r="J11" s="35" t="n">
        <f aca="false">IF($B11&gt;Inputs!$B$11,"",I11/(1+Inputs!$B$45)^A11)</f>
        <v>1942739.97811227</v>
      </c>
    </row>
    <row r="12" customFormat="false" ht="15" hidden="false" customHeight="false" outlineLevel="0" collapsed="false">
      <c r="A12" s="59" t="n">
        <v>8</v>
      </c>
      <c r="B12" s="60" t="n">
        <f aca="false">IF(Inputs!$B$9+7&gt;Inputs!$B$11,"",Inputs!$B$9+7)</f>
        <v>31</v>
      </c>
      <c r="C12" s="61" t="str">
        <f aca="false">IF($B12&gt;Inputs!$B$11,"",IF($B12&lt;Inputs!$B$10,"Accumulation","Retirement"))</f>
        <v>Accumulation</v>
      </c>
      <c r="D12" s="62" t="n">
        <f aca="false">IF($B12&gt;Inputs!$B$11,"",I11)</f>
        <v>2921162.61644183</v>
      </c>
      <c r="E12" s="62" t="n">
        <f aca="false">IF($B12&gt;Inputs!$B$11,"",IF($B12&gt;=Inputs!$B$10,0,Retirement!$B$49*12*(1+Inputs!$B$53)^(A12-1)))</f>
        <v>198027.162015642</v>
      </c>
      <c r="F12" s="62" t="n">
        <f aca="false">IF($B12&gt;Inputs!$B$11,"",IF($B12&lt;Inputs!$B$10,0,Retirement!$B$23*(1+Inputs!$B$45)^($B12-Inputs!$B$10)))</f>
        <v>0</v>
      </c>
      <c r="G12" s="63" t="n">
        <f aca="false">IF($B12&gt;Inputs!$B$11,"",IF($B12&lt;Inputs!$B$10,Inputs!$B$51,Inputs!$B$52))</f>
        <v>0.1075</v>
      </c>
      <c r="H12" s="62" t="n">
        <f aca="false">IF($B12&gt;Inputs!$B$11,"",(D12-F12)*G12)</f>
        <v>314024.981267497</v>
      </c>
      <c r="I12" s="62" t="n">
        <f aca="false">IF($B12&gt;Inputs!$B$11,"",D12-F12+H12+E12)</f>
        <v>3433214.75972497</v>
      </c>
      <c r="J12" s="62" t="n">
        <f aca="false">IF($B12&gt;Inputs!$B$11,"",I12/(1+Inputs!$B$45)^A12)</f>
        <v>2154041.4137248</v>
      </c>
    </row>
    <row r="13" customFormat="false" ht="15" hidden="false" customHeight="false" outlineLevel="0" collapsed="false">
      <c r="A13" s="34" t="n">
        <v>9</v>
      </c>
      <c r="B13" s="56" t="n">
        <f aca="false">IF(Inputs!$B$9+8&gt;Inputs!$B$11,"",Inputs!$B$9+8)</f>
        <v>32</v>
      </c>
      <c r="C13" s="57" t="str">
        <f aca="false">IF($B13&gt;Inputs!$B$11,"",IF($B13&lt;Inputs!$B$10,"Accumulation","Retirement"))</f>
        <v>Accumulation</v>
      </c>
      <c r="D13" s="35" t="n">
        <f aca="false">IF($B13&gt;Inputs!$B$11,"",I12)</f>
        <v>3433214.75972497</v>
      </c>
      <c r="E13" s="35" t="n">
        <f aca="false">IF($B13&gt;Inputs!$B$11,"",IF($B13&gt;=Inputs!$B$10,0,Retirement!$B$49*12*(1+Inputs!$B$53)^(A13-1)))</f>
        <v>217829.878217207</v>
      </c>
      <c r="F13" s="35" t="n">
        <f aca="false">IF($B13&gt;Inputs!$B$11,"",IF($B13&lt;Inputs!$B$10,0,Retirement!$B$23*(1+Inputs!$B$45)^($B13-Inputs!$B$10)))</f>
        <v>0</v>
      </c>
      <c r="G13" s="58" t="n">
        <f aca="false">IF($B13&gt;Inputs!$B$11,"",IF($B13&lt;Inputs!$B$10,Inputs!$B$51,Inputs!$B$52))</f>
        <v>0.1075</v>
      </c>
      <c r="H13" s="35" t="n">
        <f aca="false">IF($B13&gt;Inputs!$B$11,"",(D13-F13)*G13)</f>
        <v>369070.586670434</v>
      </c>
      <c r="I13" s="35" t="n">
        <f aca="false">IF($B13&gt;Inputs!$B$11,"",D13-F13+H13+E13)</f>
        <v>4020115.22461261</v>
      </c>
      <c r="J13" s="35" t="n">
        <f aca="false">IF($B13&gt;Inputs!$B$11,"",I13/(1+Inputs!$B$45)^A13)</f>
        <v>2379500.02466186</v>
      </c>
    </row>
    <row r="14" customFormat="false" ht="15" hidden="false" customHeight="false" outlineLevel="0" collapsed="false">
      <c r="A14" s="59" t="n">
        <v>10</v>
      </c>
      <c r="B14" s="60" t="n">
        <f aca="false">IF(Inputs!$B$9+9&gt;Inputs!$B$11,"",Inputs!$B$9+9)</f>
        <v>33</v>
      </c>
      <c r="C14" s="61" t="str">
        <f aca="false">IF($B14&gt;Inputs!$B$11,"",IF($B14&lt;Inputs!$B$10,"Accumulation","Retirement"))</f>
        <v>Accumulation</v>
      </c>
      <c r="D14" s="62" t="n">
        <f aca="false">IF($B14&gt;Inputs!$B$11,"",I13)</f>
        <v>4020115.22461261</v>
      </c>
      <c r="E14" s="62" t="n">
        <f aca="false">IF($B14&gt;Inputs!$B$11,"",IF($B14&gt;=Inputs!$B$10,0,Retirement!$B$49*12*(1+Inputs!$B$53)^(A14-1)))</f>
        <v>239612.866038927</v>
      </c>
      <c r="F14" s="62" t="n">
        <f aca="false">IF($B14&gt;Inputs!$B$11,"",IF($B14&lt;Inputs!$B$10,0,Retirement!$B$23*(1+Inputs!$B$45)^($B14-Inputs!$B$10)))</f>
        <v>0</v>
      </c>
      <c r="G14" s="63" t="n">
        <f aca="false">IF($B14&gt;Inputs!$B$11,"",IF($B14&lt;Inputs!$B$10,Inputs!$B$51,Inputs!$B$52))</f>
        <v>0.1075</v>
      </c>
      <c r="H14" s="62" t="n">
        <f aca="false">IF($B14&gt;Inputs!$B$11,"",(D14-F14)*G14)</f>
        <v>432162.386645855</v>
      </c>
      <c r="I14" s="62" t="n">
        <f aca="false">IF($B14&gt;Inputs!$B$11,"",D14-F14+H14+E14)</f>
        <v>4691890.47729739</v>
      </c>
      <c r="J14" s="62" t="n">
        <f aca="false">IF($B14&gt;Inputs!$B$11,"",I14/(1+Inputs!$B$45)^A14)</f>
        <v>2619927.13638064</v>
      </c>
    </row>
    <row r="15" customFormat="false" ht="15" hidden="false" customHeight="false" outlineLevel="0" collapsed="false">
      <c r="A15" s="34" t="n">
        <v>11</v>
      </c>
      <c r="B15" s="56" t="n">
        <f aca="false">IF(Inputs!$B$9+10&gt;Inputs!$B$11,"",Inputs!$B$9+10)</f>
        <v>34</v>
      </c>
      <c r="C15" s="57" t="str">
        <f aca="false">IF($B15&gt;Inputs!$B$11,"",IF($B15&lt;Inputs!$B$10,"Accumulation","Retirement"))</f>
        <v>Accumulation</v>
      </c>
      <c r="D15" s="35" t="n">
        <f aca="false">IF($B15&gt;Inputs!$B$11,"",I14)</f>
        <v>4691890.47729739</v>
      </c>
      <c r="E15" s="35" t="n">
        <f aca="false">IF($B15&gt;Inputs!$B$11,"",IF($B15&gt;=Inputs!$B$10,0,Retirement!$B$49*12*(1+Inputs!$B$53)^(A15-1)))</f>
        <v>263574.15264282</v>
      </c>
      <c r="F15" s="35" t="n">
        <f aca="false">IF($B15&gt;Inputs!$B$11,"",IF($B15&lt;Inputs!$B$10,0,Retirement!$B$23*(1+Inputs!$B$45)^($B15-Inputs!$B$10)))</f>
        <v>0</v>
      </c>
      <c r="G15" s="58" t="n">
        <f aca="false">IF($B15&gt;Inputs!$B$11,"",IF($B15&lt;Inputs!$B$10,Inputs!$B$51,Inputs!$B$52))</f>
        <v>0.1075</v>
      </c>
      <c r="H15" s="35" t="n">
        <f aca="false">IF($B15&gt;Inputs!$B$11,"",(D15-F15)*G15)</f>
        <v>504378.22630947</v>
      </c>
      <c r="I15" s="35" t="n">
        <f aca="false">IF($B15&gt;Inputs!$B$11,"",D15-F15+H15+E15)</f>
        <v>5459842.85624968</v>
      </c>
      <c r="J15" s="35" t="n">
        <f aca="false">IF($B15&gt;Inputs!$B$11,"",I15/(1+Inputs!$B$45)^A15)</f>
        <v>2876177.10727089</v>
      </c>
    </row>
    <row r="16" customFormat="false" ht="15" hidden="false" customHeight="false" outlineLevel="0" collapsed="false">
      <c r="A16" s="59" t="n">
        <v>12</v>
      </c>
      <c r="B16" s="60" t="n">
        <f aca="false">IF(Inputs!$B$9+11&gt;Inputs!$B$11,"",Inputs!$B$9+11)</f>
        <v>35</v>
      </c>
      <c r="C16" s="61" t="str">
        <f aca="false">IF($B16&gt;Inputs!$B$11,"",IF($B16&lt;Inputs!$B$10,"Accumulation","Retirement"))</f>
        <v>Accumulation</v>
      </c>
      <c r="D16" s="62" t="n">
        <f aca="false">IF($B16&gt;Inputs!$B$11,"",I15)</f>
        <v>5459842.85624968</v>
      </c>
      <c r="E16" s="62" t="n">
        <f aca="false">IF($B16&gt;Inputs!$B$11,"",IF($B16&gt;=Inputs!$B$10,0,Retirement!$B$49*12*(1+Inputs!$B$53)^(A16-1)))</f>
        <v>289931.567907102</v>
      </c>
      <c r="F16" s="62" t="n">
        <f aca="false">IF($B16&gt;Inputs!$B$11,"",IF($B16&lt;Inputs!$B$10,0,Retirement!$B$23*(1+Inputs!$B$45)^($B16-Inputs!$B$10)))</f>
        <v>0</v>
      </c>
      <c r="G16" s="63" t="n">
        <f aca="false">IF($B16&gt;Inputs!$B$11,"",IF($B16&lt;Inputs!$B$10,Inputs!$B$51,Inputs!$B$52))</f>
        <v>0.1075</v>
      </c>
      <c r="H16" s="62" t="n">
        <f aca="false">IF($B16&gt;Inputs!$B$11,"",(D16-F16)*G16)</f>
        <v>586933.107046841</v>
      </c>
      <c r="I16" s="62" t="n">
        <f aca="false">IF($B16&gt;Inputs!$B$11,"",D16-F16+H16+E16)</f>
        <v>6336707.53120363</v>
      </c>
      <c r="J16" s="62" t="n">
        <f aca="false">IF($B16&gt;Inputs!$B$11,"",I16/(1+Inputs!$B$45)^A16)</f>
        <v>3149149.50895585</v>
      </c>
    </row>
    <row r="17" customFormat="false" ht="15" hidden="false" customHeight="false" outlineLevel="0" collapsed="false">
      <c r="A17" s="34" t="n">
        <v>13</v>
      </c>
      <c r="B17" s="56" t="n">
        <f aca="false">IF(Inputs!$B$9+12&gt;Inputs!$B$11,"",Inputs!$B$9+12)</f>
        <v>36</v>
      </c>
      <c r="C17" s="57" t="str">
        <f aca="false">IF($B17&gt;Inputs!$B$11,"",IF($B17&lt;Inputs!$B$10,"Accumulation","Retirement"))</f>
        <v>Accumulation</v>
      </c>
      <c r="D17" s="35" t="n">
        <f aca="false">IF($B17&gt;Inputs!$B$11,"",I16)</f>
        <v>6336707.53120363</v>
      </c>
      <c r="E17" s="35" t="n">
        <f aca="false">IF($B17&gt;Inputs!$B$11,"",IF($B17&gt;=Inputs!$B$10,0,Retirement!$B$49*12*(1+Inputs!$B$53)^(A17-1)))</f>
        <v>318924.724697812</v>
      </c>
      <c r="F17" s="35" t="n">
        <f aca="false">IF($B17&gt;Inputs!$B$11,"",IF($B17&lt;Inputs!$B$10,0,Retirement!$B$23*(1+Inputs!$B$45)^($B17-Inputs!$B$10)))</f>
        <v>0</v>
      </c>
      <c r="G17" s="58" t="n">
        <f aca="false">IF($B17&gt;Inputs!$B$11,"",IF($B17&lt;Inputs!$B$10,Inputs!$B$51,Inputs!$B$52))</f>
        <v>0.1075</v>
      </c>
      <c r="H17" s="35" t="n">
        <f aca="false">IF($B17&gt;Inputs!$B$11,"",(D17-F17)*G17)</f>
        <v>681196.05960439</v>
      </c>
      <c r="I17" s="35" t="n">
        <f aca="false">IF($B17&gt;Inputs!$B$11,"",D17-F17+H17+E17)</f>
        <v>7336828.31550583</v>
      </c>
      <c r="J17" s="35" t="n">
        <f aca="false">IF($B17&gt;Inputs!$B$11,"",I17/(1+Inputs!$B$45)^A17)</f>
        <v>3439791.4138025</v>
      </c>
    </row>
    <row r="18" customFormat="false" ht="15" hidden="false" customHeight="false" outlineLevel="0" collapsed="false">
      <c r="A18" s="59" t="n">
        <v>14</v>
      </c>
      <c r="B18" s="60" t="n">
        <f aca="false">IF(Inputs!$B$9+13&gt;Inputs!$B$11,"",Inputs!$B$9+13)</f>
        <v>37</v>
      </c>
      <c r="C18" s="61" t="str">
        <f aca="false">IF($B18&gt;Inputs!$B$11,"",IF($B18&lt;Inputs!$B$10,"Accumulation","Retirement"))</f>
        <v>Accumulation</v>
      </c>
      <c r="D18" s="62" t="n">
        <f aca="false">IF($B18&gt;Inputs!$B$11,"",I17)</f>
        <v>7336828.31550583</v>
      </c>
      <c r="E18" s="62" t="n">
        <f aca="false">IF($B18&gt;Inputs!$B$11,"",IF($B18&gt;=Inputs!$B$10,0,Retirement!$B$49*12*(1+Inputs!$B$53)^(A18-1)))</f>
        <v>350817.197167594</v>
      </c>
      <c r="F18" s="62" t="n">
        <f aca="false">IF($B18&gt;Inputs!$B$11,"",IF($B18&lt;Inputs!$B$10,0,Retirement!$B$23*(1+Inputs!$B$45)^($B18-Inputs!$B$10)))</f>
        <v>0</v>
      </c>
      <c r="G18" s="63" t="n">
        <f aca="false">IF($B18&gt;Inputs!$B$11,"",IF($B18&lt;Inputs!$B$10,Inputs!$B$51,Inputs!$B$52))</f>
        <v>0.1075</v>
      </c>
      <c r="H18" s="62" t="n">
        <f aca="false">IF($B18&gt;Inputs!$B$11,"",(D18-F18)*G18)</f>
        <v>788709.043916876</v>
      </c>
      <c r="I18" s="62" t="n">
        <f aca="false">IF($B18&gt;Inputs!$B$11,"",D18-F18+H18+E18)</f>
        <v>8476354.5565903</v>
      </c>
      <c r="J18" s="62" t="n">
        <f aca="false">IF($B18&gt;Inputs!$B$11,"",I18/(1+Inputs!$B$45)^A18)</f>
        <v>3749099.79480392</v>
      </c>
    </row>
    <row r="19" customFormat="false" ht="15" hidden="false" customHeight="false" outlineLevel="0" collapsed="false">
      <c r="A19" s="34" t="n">
        <v>15</v>
      </c>
      <c r="B19" s="56" t="n">
        <f aca="false">IF(Inputs!$B$9+14&gt;Inputs!$B$11,"",Inputs!$B$9+14)</f>
        <v>38</v>
      </c>
      <c r="C19" s="57" t="str">
        <f aca="false">IF($B19&gt;Inputs!$B$11,"",IF($B19&lt;Inputs!$B$10,"Accumulation","Retirement"))</f>
        <v>Accumulation</v>
      </c>
      <c r="D19" s="35" t="n">
        <f aca="false">IF($B19&gt;Inputs!$B$11,"",I18)</f>
        <v>8476354.5565903</v>
      </c>
      <c r="E19" s="35" t="n">
        <f aca="false">IF($B19&gt;Inputs!$B$11,"",IF($B19&gt;=Inputs!$B$10,0,Retirement!$B$49*12*(1+Inputs!$B$53)^(A19-1)))</f>
        <v>385898.916884353</v>
      </c>
      <c r="F19" s="35" t="n">
        <f aca="false">IF($B19&gt;Inputs!$B$11,"",IF($B19&lt;Inputs!$B$10,0,Retirement!$B$23*(1+Inputs!$B$45)^($B19-Inputs!$B$10)))</f>
        <v>0</v>
      </c>
      <c r="G19" s="58" t="n">
        <f aca="false">IF($B19&gt;Inputs!$B$11,"",IF($B19&lt;Inputs!$B$10,Inputs!$B$51,Inputs!$B$52))</f>
        <v>0.1075</v>
      </c>
      <c r="H19" s="35" t="n">
        <f aca="false">IF($B19&gt;Inputs!$B$11,"",(D19-F19)*G19)</f>
        <v>911208.114833457</v>
      </c>
      <c r="I19" s="35" t="n">
        <f aca="false">IF($B19&gt;Inputs!$B$11,"",D19-F19+H19+E19)</f>
        <v>9773461.58830811</v>
      </c>
      <c r="J19" s="35" t="n">
        <f aca="false">IF($B19&gt;Inputs!$B$11,"",I19/(1+Inputs!$B$45)^A19)</f>
        <v>4078124.04324185</v>
      </c>
    </row>
    <row r="20" customFormat="false" ht="15" hidden="false" customHeight="false" outlineLevel="0" collapsed="false">
      <c r="A20" s="59" t="n">
        <v>16</v>
      </c>
      <c r="B20" s="60" t="n">
        <f aca="false">IF(Inputs!$B$9+15&gt;Inputs!$B$11,"",Inputs!$B$9+15)</f>
        <v>39</v>
      </c>
      <c r="C20" s="61" t="str">
        <f aca="false">IF($B20&gt;Inputs!$B$11,"",IF($B20&lt;Inputs!$B$10,"Accumulation","Retirement"))</f>
        <v>Accumulation</v>
      </c>
      <c r="D20" s="62" t="n">
        <f aca="false">IF($B20&gt;Inputs!$B$11,"",I19)</f>
        <v>9773461.58830811</v>
      </c>
      <c r="E20" s="62" t="n">
        <f aca="false">IF($B20&gt;Inputs!$B$11,"",IF($B20&gt;=Inputs!$B$10,0,Retirement!$B$49*12*(1+Inputs!$B$53)^(A20-1)))</f>
        <v>424488.808572788</v>
      </c>
      <c r="F20" s="62" t="n">
        <f aca="false">IF($B20&gt;Inputs!$B$11,"",IF($B20&lt;Inputs!$B$10,0,Retirement!$B$23*(1+Inputs!$B$45)^($B20-Inputs!$B$10)))</f>
        <v>0</v>
      </c>
      <c r="G20" s="63" t="n">
        <f aca="false">IF($B20&gt;Inputs!$B$11,"",IF($B20&lt;Inputs!$B$10,Inputs!$B$51,Inputs!$B$52))</f>
        <v>0.1075</v>
      </c>
      <c r="H20" s="62" t="n">
        <f aca="false">IF($B20&gt;Inputs!$B$11,"",(D20-F20)*G20)</f>
        <v>1050647.12074312</v>
      </c>
      <c r="I20" s="62" t="n">
        <f aca="false">IF($B20&gt;Inputs!$B$11,"",D20-F20+H20+E20)</f>
        <v>11248597.517624</v>
      </c>
      <c r="J20" s="62" t="n">
        <f aca="false">IF($B20&gt;Inputs!$B$11,"",I20/(1+Inputs!$B$45)^A20)</f>
        <v>4427968.60979343</v>
      </c>
    </row>
    <row r="21" customFormat="false" ht="15" hidden="false" customHeight="false" outlineLevel="0" collapsed="false">
      <c r="A21" s="34" t="n">
        <v>17</v>
      </c>
      <c r="B21" s="56" t="n">
        <f aca="false">IF(Inputs!$B$9+16&gt;Inputs!$B$11,"",Inputs!$B$9+16)</f>
        <v>40</v>
      </c>
      <c r="C21" s="57" t="str">
        <f aca="false">IF($B21&gt;Inputs!$B$11,"",IF($B21&lt;Inputs!$B$10,"Accumulation","Retirement"))</f>
        <v>Accumulation</v>
      </c>
      <c r="D21" s="35" t="n">
        <f aca="false">IF($B21&gt;Inputs!$B$11,"",I20)</f>
        <v>11248597.517624</v>
      </c>
      <c r="E21" s="35" t="n">
        <f aca="false">IF($B21&gt;Inputs!$B$11,"",IF($B21&gt;=Inputs!$B$10,0,Retirement!$B$49*12*(1+Inputs!$B$53)^(A21-1)))</f>
        <v>466937.689430067</v>
      </c>
      <c r="F21" s="35" t="n">
        <f aca="false">IF($B21&gt;Inputs!$B$11,"",IF($B21&lt;Inputs!$B$10,0,Retirement!$B$23*(1+Inputs!$B$45)^($B21-Inputs!$B$10)))</f>
        <v>0</v>
      </c>
      <c r="G21" s="58" t="n">
        <f aca="false">IF($B21&gt;Inputs!$B$11,"",IF($B21&lt;Inputs!$B$10,Inputs!$B$51,Inputs!$B$52))</f>
        <v>0.1075</v>
      </c>
      <c r="H21" s="35" t="n">
        <f aca="false">IF($B21&gt;Inputs!$B$11,"",(D21-F21)*G21)</f>
        <v>1209224.23314458</v>
      </c>
      <c r="I21" s="35" t="n">
        <f aca="false">IF($B21&gt;Inputs!$B$11,"",D21-F21+H21+E21)</f>
        <v>12924759.4401987</v>
      </c>
      <c r="J21" s="35" t="n">
        <f aca="false">IF($B21&gt;Inputs!$B$11,"",I21/(1+Inputs!$B$45)^A21)</f>
        <v>4799795.7750149</v>
      </c>
    </row>
    <row r="22" customFormat="false" ht="15" hidden="false" customHeight="false" outlineLevel="0" collapsed="false">
      <c r="A22" s="59" t="n">
        <v>18</v>
      </c>
      <c r="B22" s="60" t="n">
        <f aca="false">IF(Inputs!$B$9+17&gt;Inputs!$B$11,"",Inputs!$B$9+17)</f>
        <v>41</v>
      </c>
      <c r="C22" s="61" t="str">
        <f aca="false">IF($B22&gt;Inputs!$B$11,"",IF($B22&lt;Inputs!$B$10,"Accumulation","Retirement"))</f>
        <v>Accumulation</v>
      </c>
      <c r="D22" s="62" t="n">
        <f aca="false">IF($B22&gt;Inputs!$B$11,"",I21)</f>
        <v>12924759.4401987</v>
      </c>
      <c r="E22" s="62" t="n">
        <f aca="false">IF($B22&gt;Inputs!$B$11,"",IF($B22&gt;=Inputs!$B$10,0,Retirement!$B$49*12*(1+Inputs!$B$53)^(A22-1)))</f>
        <v>513631.458373074</v>
      </c>
      <c r="F22" s="62" t="n">
        <f aca="false">IF($B22&gt;Inputs!$B$11,"",IF($B22&lt;Inputs!$B$10,0,Retirement!$B$23*(1+Inputs!$B$45)^($B22-Inputs!$B$10)))</f>
        <v>0</v>
      </c>
      <c r="G22" s="63" t="n">
        <f aca="false">IF($B22&gt;Inputs!$B$11,"",IF($B22&lt;Inputs!$B$10,Inputs!$B$51,Inputs!$B$52))</f>
        <v>0.1075</v>
      </c>
      <c r="H22" s="62" t="n">
        <f aca="false">IF($B22&gt;Inputs!$B$11,"",(D22-F22)*G22)</f>
        <v>1389411.63982136</v>
      </c>
      <c r="I22" s="62" t="n">
        <f aca="false">IF($B22&gt;Inputs!$B$11,"",D22-F22+H22+E22)</f>
        <v>14827802.5383931</v>
      </c>
      <c r="J22" s="62" t="n">
        <f aca="false">IF($B22&gt;Inputs!$B$11,"",I22/(1+Inputs!$B$45)^A22)</f>
        <v>5194828.55541588</v>
      </c>
    </row>
    <row r="23" customFormat="false" ht="15" hidden="false" customHeight="false" outlineLevel="0" collapsed="false">
      <c r="A23" s="34" t="n">
        <v>19</v>
      </c>
      <c r="B23" s="56" t="n">
        <f aca="false">IF(Inputs!$B$9+18&gt;Inputs!$B$11,"",Inputs!$B$9+18)</f>
        <v>42</v>
      </c>
      <c r="C23" s="57" t="str">
        <f aca="false">IF($B23&gt;Inputs!$B$11,"",IF($B23&lt;Inputs!$B$10,"Accumulation","Retirement"))</f>
        <v>Accumulation</v>
      </c>
      <c r="D23" s="35" t="n">
        <f aca="false">IF($B23&gt;Inputs!$B$11,"",I22)</f>
        <v>14827802.5383931</v>
      </c>
      <c r="E23" s="35" t="n">
        <f aca="false">IF($B23&gt;Inputs!$B$11,"",IF($B23&gt;=Inputs!$B$10,0,Retirement!$B$49*12*(1+Inputs!$B$53)^(A23-1)))</f>
        <v>564994.604210381</v>
      </c>
      <c r="F23" s="35" t="n">
        <f aca="false">IF($B23&gt;Inputs!$B$11,"",IF($B23&lt;Inputs!$B$10,0,Retirement!$B$23*(1+Inputs!$B$45)^($B23-Inputs!$B$10)))</f>
        <v>0</v>
      </c>
      <c r="G23" s="58" t="n">
        <f aca="false">IF($B23&gt;Inputs!$B$11,"",IF($B23&lt;Inputs!$B$10,Inputs!$B$51,Inputs!$B$52))</f>
        <v>0.1075</v>
      </c>
      <c r="H23" s="35" t="n">
        <f aca="false">IF($B23&gt;Inputs!$B$11,"",(D23-F23)*G23)</f>
        <v>1593988.77287726</v>
      </c>
      <c r="I23" s="35" t="n">
        <f aca="false">IF($B23&gt;Inputs!$B$11,"",D23-F23+H23+E23)</f>
        <v>16986785.9154807</v>
      </c>
      <c r="J23" s="35" t="n">
        <f aca="false">IF($B23&gt;Inputs!$B$11,"",I23/(1+Inputs!$B$45)^A23)</f>
        <v>5614353.75163179</v>
      </c>
    </row>
    <row r="24" customFormat="false" ht="15" hidden="false" customHeight="false" outlineLevel="0" collapsed="false">
      <c r="A24" s="59" t="n">
        <v>20</v>
      </c>
      <c r="B24" s="60" t="n">
        <f aca="false">IF(Inputs!$B$9+19&gt;Inputs!$B$11,"",Inputs!$B$9+19)</f>
        <v>43</v>
      </c>
      <c r="C24" s="61" t="str">
        <f aca="false">IF($B24&gt;Inputs!$B$11,"",IF($B24&lt;Inputs!$B$10,"Accumulation","Retirement"))</f>
        <v>Accumulation</v>
      </c>
      <c r="D24" s="62" t="n">
        <f aca="false">IF($B24&gt;Inputs!$B$11,"",I23)</f>
        <v>16986785.9154807</v>
      </c>
      <c r="E24" s="62" t="n">
        <f aca="false">IF($B24&gt;Inputs!$B$11,"",IF($B24&gt;=Inputs!$B$10,0,Retirement!$B$49*12*(1+Inputs!$B$53)^(A24-1)))</f>
        <v>621494.06463142</v>
      </c>
      <c r="F24" s="62" t="n">
        <f aca="false">IF($B24&gt;Inputs!$B$11,"",IF($B24&lt;Inputs!$B$10,0,Retirement!$B$23*(1+Inputs!$B$45)^($B24-Inputs!$B$10)))</f>
        <v>0</v>
      </c>
      <c r="G24" s="63" t="n">
        <f aca="false">IF($B24&gt;Inputs!$B$11,"",IF($B24&lt;Inputs!$B$10,Inputs!$B$51,Inputs!$B$52))</f>
        <v>0.1075</v>
      </c>
      <c r="H24" s="62" t="n">
        <f aca="false">IF($B24&gt;Inputs!$B$11,"",(D24-F24)*G24)</f>
        <v>1826079.48591418</v>
      </c>
      <c r="I24" s="62" t="n">
        <f aca="false">IF($B24&gt;Inputs!$B$11,"",D24-F24+H24+E24)</f>
        <v>19434359.4660263</v>
      </c>
      <c r="J24" s="62" t="n">
        <f aca="false">IF($B24&gt;Inputs!$B$11,"",I24/(1+Inputs!$B$45)^A24)</f>
        <v>6059725.14551033</v>
      </c>
    </row>
    <row r="25" customFormat="false" ht="15" hidden="false" customHeight="false" outlineLevel="0" collapsed="false">
      <c r="A25" s="34" t="n">
        <v>21</v>
      </c>
      <c r="B25" s="56" t="n">
        <f aca="false">IF(Inputs!$B$9+20&gt;Inputs!$B$11,"",Inputs!$B$9+20)</f>
        <v>44</v>
      </c>
      <c r="C25" s="57" t="str">
        <f aca="false">IF($B25&gt;Inputs!$B$11,"",IF($B25&lt;Inputs!$B$10,"Accumulation","Retirement"))</f>
        <v>Accumulation</v>
      </c>
      <c r="D25" s="35" t="n">
        <f aca="false">IF($B25&gt;Inputs!$B$11,"",I24)</f>
        <v>19434359.4660263</v>
      </c>
      <c r="E25" s="35" t="n">
        <f aca="false">IF($B25&gt;Inputs!$B$11,"",IF($B25&gt;=Inputs!$B$10,0,Retirement!$B$49*12*(1+Inputs!$B$53)^(A25-1)))</f>
        <v>683643.471094562</v>
      </c>
      <c r="F25" s="35" t="n">
        <f aca="false">IF($B25&gt;Inputs!$B$11,"",IF($B25&lt;Inputs!$B$10,0,Retirement!$B$23*(1+Inputs!$B$45)^($B25-Inputs!$B$10)))</f>
        <v>0</v>
      </c>
      <c r="G25" s="58" t="n">
        <f aca="false">IF($B25&gt;Inputs!$B$11,"",IF($B25&lt;Inputs!$B$10,Inputs!$B$51,Inputs!$B$52))</f>
        <v>0.1075</v>
      </c>
      <c r="H25" s="35" t="n">
        <f aca="false">IF($B25&gt;Inputs!$B$11,"",(D25-F25)*G25)</f>
        <v>2089193.64259783</v>
      </c>
      <c r="I25" s="35" t="n">
        <f aca="false">IF($B25&gt;Inputs!$B$11,"",D25-F25+H25+E25)</f>
        <v>22207196.5797187</v>
      </c>
      <c r="J25" s="35" t="n">
        <f aca="false">IF($B25&gt;Inputs!$B$11,"",I25/(1+Inputs!$B$45)^A25)</f>
        <v>6532366.85324979</v>
      </c>
    </row>
    <row r="26" customFormat="false" ht="15" hidden="false" customHeight="false" outlineLevel="0" collapsed="false">
      <c r="A26" s="59" t="n">
        <v>22</v>
      </c>
      <c r="B26" s="60" t="n">
        <f aca="false">IF(Inputs!$B$9+21&gt;Inputs!$B$11,"",Inputs!$B$9+21)</f>
        <v>45</v>
      </c>
      <c r="C26" s="61" t="str">
        <f aca="false">IF($B26&gt;Inputs!$B$11,"",IF($B26&lt;Inputs!$B$10,"Accumulation","Retirement"))</f>
        <v>Accumulation</v>
      </c>
      <c r="D26" s="62" t="n">
        <f aca="false">IF($B26&gt;Inputs!$B$11,"",I25)</f>
        <v>22207196.5797187</v>
      </c>
      <c r="E26" s="62" t="n">
        <f aca="false">IF($B26&gt;Inputs!$B$11,"",IF($B26&gt;=Inputs!$B$10,0,Retirement!$B$49*12*(1+Inputs!$B$53)^(A26-1)))</f>
        <v>752007.818204018</v>
      </c>
      <c r="F26" s="62" t="n">
        <f aca="false">IF($B26&gt;Inputs!$B$11,"",IF($B26&lt;Inputs!$B$10,0,Retirement!$B$23*(1+Inputs!$B$45)^($B26-Inputs!$B$10)))</f>
        <v>0</v>
      </c>
      <c r="G26" s="63" t="n">
        <f aca="false">IF($B26&gt;Inputs!$B$11,"",IF($B26&lt;Inputs!$B$10,Inputs!$B$51,Inputs!$B$52))</f>
        <v>0.1075</v>
      </c>
      <c r="H26" s="62" t="n">
        <f aca="false">IF($B26&gt;Inputs!$B$11,"",(D26-F26)*G26)</f>
        <v>2387273.63231976</v>
      </c>
      <c r="I26" s="62" t="n">
        <f aca="false">IF($B26&gt;Inputs!$B$11,"",D26-F26+H26+E26)</f>
        <v>25346478.0302425</v>
      </c>
      <c r="J26" s="62" t="n">
        <f aca="false">IF($B26&gt;Inputs!$B$11,"",I26/(1+Inputs!$B$45)^A26)</f>
        <v>7033776.8420647</v>
      </c>
    </row>
    <row r="27" customFormat="false" ht="15" hidden="false" customHeight="false" outlineLevel="0" collapsed="false">
      <c r="A27" s="34" t="n">
        <v>23</v>
      </c>
      <c r="B27" s="56" t="n">
        <f aca="false">IF(Inputs!$B$9+22&gt;Inputs!$B$11,"",Inputs!$B$9+22)</f>
        <v>46</v>
      </c>
      <c r="C27" s="57" t="str">
        <f aca="false">IF($B27&gt;Inputs!$B$11,"",IF($B27&lt;Inputs!$B$10,"Accumulation","Retirement"))</f>
        <v>Accumulation</v>
      </c>
      <c r="D27" s="35" t="n">
        <f aca="false">IF($B27&gt;Inputs!$B$11,"",I26)</f>
        <v>25346478.0302425</v>
      </c>
      <c r="E27" s="35" t="n">
        <f aca="false">IF($B27&gt;Inputs!$B$11,"",IF($B27&gt;=Inputs!$B$10,0,Retirement!$B$49*12*(1+Inputs!$B$53)^(A27-1)))</f>
        <v>827208.60002442</v>
      </c>
      <c r="F27" s="35" t="n">
        <f aca="false">IF($B27&gt;Inputs!$B$11,"",IF($B27&lt;Inputs!$B$10,0,Retirement!$B$23*(1+Inputs!$B$45)^($B27-Inputs!$B$10)))</f>
        <v>0</v>
      </c>
      <c r="G27" s="58" t="n">
        <f aca="false">IF($B27&gt;Inputs!$B$11,"",IF($B27&lt;Inputs!$B$10,Inputs!$B$51,Inputs!$B$52))</f>
        <v>0.1075</v>
      </c>
      <c r="H27" s="35" t="n">
        <f aca="false">IF($B27&gt;Inputs!$B$11,"",(D27-F27)*G27)</f>
        <v>2724746.38825107</v>
      </c>
      <c r="I27" s="35" t="n">
        <f aca="false">IF($B27&gt;Inputs!$B$11,"",D27-F27+H27+E27)</f>
        <v>28898433.018518</v>
      </c>
      <c r="J27" s="35" t="n">
        <f aca="false">IF($B27&gt;Inputs!$B$11,"",I27/(1+Inputs!$B$45)^A27)</f>
        <v>7565530.61820731</v>
      </c>
    </row>
    <row r="28" customFormat="false" ht="15" hidden="false" customHeight="false" outlineLevel="0" collapsed="false">
      <c r="A28" s="59" t="n">
        <v>24</v>
      </c>
      <c r="B28" s="60" t="n">
        <f aca="false">IF(Inputs!$B$9+23&gt;Inputs!$B$11,"",Inputs!$B$9+23)</f>
        <v>47</v>
      </c>
      <c r="C28" s="61" t="str">
        <f aca="false">IF($B28&gt;Inputs!$B$11,"",IF($B28&lt;Inputs!$B$10,"Accumulation","Retirement"))</f>
        <v>Accumulation</v>
      </c>
      <c r="D28" s="62" t="n">
        <f aca="false">IF($B28&gt;Inputs!$B$11,"",I27)</f>
        <v>28898433.018518</v>
      </c>
      <c r="E28" s="62" t="n">
        <f aca="false">IF($B28&gt;Inputs!$B$11,"",IF($B28&gt;=Inputs!$B$10,0,Retirement!$B$49*12*(1+Inputs!$B$53)^(A28-1)))</f>
        <v>909929.460026862</v>
      </c>
      <c r="F28" s="62" t="n">
        <f aca="false">IF($B28&gt;Inputs!$B$11,"",IF($B28&lt;Inputs!$B$10,0,Retirement!$B$23*(1+Inputs!$B$45)^($B28-Inputs!$B$10)))</f>
        <v>0</v>
      </c>
      <c r="G28" s="63" t="n">
        <f aca="false">IF($B28&gt;Inputs!$B$11,"",IF($B28&lt;Inputs!$B$10,Inputs!$B$51,Inputs!$B$52))</f>
        <v>0.1075</v>
      </c>
      <c r="H28" s="62" t="n">
        <f aca="false">IF($B28&gt;Inputs!$B$11,"",(D28-F28)*G28)</f>
        <v>3106581.54949068</v>
      </c>
      <c r="I28" s="62" t="n">
        <f aca="false">IF($B28&gt;Inputs!$B$11,"",D28-F28+H28+E28)</f>
        <v>32914944.0280355</v>
      </c>
      <c r="J28" s="62" t="n">
        <f aca="false">IF($B28&gt;Inputs!$B$11,"",I28/(1+Inputs!$B$45)^A28)</f>
        <v>8129285.09454333</v>
      </c>
    </row>
    <row r="29" customFormat="false" ht="15" hidden="false" customHeight="false" outlineLevel="0" collapsed="false">
      <c r="A29" s="34" t="n">
        <v>25</v>
      </c>
      <c r="B29" s="56" t="n">
        <f aca="false">IF(Inputs!$B$9+24&gt;Inputs!$B$11,"",Inputs!$B$9+24)</f>
        <v>48</v>
      </c>
      <c r="C29" s="57" t="str">
        <f aca="false">IF($B29&gt;Inputs!$B$11,"",IF($B29&lt;Inputs!$B$10,"Accumulation","Retirement"))</f>
        <v>Accumulation</v>
      </c>
      <c r="D29" s="35" t="n">
        <f aca="false">IF($B29&gt;Inputs!$B$11,"",I28)</f>
        <v>32914944.0280355</v>
      </c>
      <c r="E29" s="35" t="n">
        <f aca="false">IF($B29&gt;Inputs!$B$11,"",IF($B29&gt;=Inputs!$B$10,0,Retirement!$B$49*12*(1+Inputs!$B$53)^(A29-1)))</f>
        <v>1000922.40602955</v>
      </c>
      <c r="F29" s="35" t="n">
        <f aca="false">IF($B29&gt;Inputs!$B$11,"",IF($B29&lt;Inputs!$B$10,0,Retirement!$B$23*(1+Inputs!$B$45)^($B29-Inputs!$B$10)))</f>
        <v>0</v>
      </c>
      <c r="G29" s="58" t="n">
        <f aca="false">IF($B29&gt;Inputs!$B$11,"",IF($B29&lt;Inputs!$B$10,Inputs!$B$51,Inputs!$B$52))</f>
        <v>0.1075</v>
      </c>
      <c r="H29" s="35" t="n">
        <f aca="false">IF($B29&gt;Inputs!$B$11,"",(D29-F29)*G29)</f>
        <v>3538356.48301382</v>
      </c>
      <c r="I29" s="35" t="n">
        <f aca="false">IF($B29&gt;Inputs!$B$11,"",D29-F29+H29+E29)</f>
        <v>37454222.9170789</v>
      </c>
      <c r="J29" s="35" t="n">
        <f aca="false">IF($B29&gt;Inputs!$B$11,"",I29/(1+Inputs!$B$45)^A29)</f>
        <v>8726782.646267</v>
      </c>
    </row>
    <row r="30" customFormat="false" ht="15" hidden="false" customHeight="false" outlineLevel="0" collapsed="false">
      <c r="A30" s="59" t="n">
        <v>26</v>
      </c>
      <c r="B30" s="60" t="n">
        <f aca="false">IF(Inputs!$B$9+25&gt;Inputs!$B$11,"",Inputs!$B$9+25)</f>
        <v>49</v>
      </c>
      <c r="C30" s="61" t="str">
        <f aca="false">IF($B30&gt;Inputs!$B$11,"",IF($B30&lt;Inputs!$B$10,"Accumulation","Retirement"))</f>
        <v>Accumulation</v>
      </c>
      <c r="D30" s="62" t="n">
        <f aca="false">IF($B30&gt;Inputs!$B$11,"",I29)</f>
        <v>37454222.9170789</v>
      </c>
      <c r="E30" s="62" t="n">
        <f aca="false">IF($B30&gt;Inputs!$B$11,"",IF($B30&gt;=Inputs!$B$10,0,Retirement!$B$49*12*(1+Inputs!$B$53)^(A30-1)))</f>
        <v>1101014.6466325</v>
      </c>
      <c r="F30" s="62" t="n">
        <f aca="false">IF($B30&gt;Inputs!$B$11,"",IF($B30&lt;Inputs!$B$10,0,Retirement!$B$23*(1+Inputs!$B$45)^($B30-Inputs!$B$10)))</f>
        <v>0</v>
      </c>
      <c r="G30" s="63" t="n">
        <f aca="false">IF($B30&gt;Inputs!$B$11,"",IF($B30&lt;Inputs!$B$10,Inputs!$B$51,Inputs!$B$52))</f>
        <v>0.1075</v>
      </c>
      <c r="H30" s="62" t="n">
        <f aca="false">IF($B30&gt;Inputs!$B$11,"",(D30-F30)*G30)</f>
        <v>4026328.96358598</v>
      </c>
      <c r="I30" s="62" t="n">
        <f aca="false">IF($B30&gt;Inputs!$B$11,"",D30-F30+H30+E30)</f>
        <v>42581566.5272974</v>
      </c>
      <c r="J30" s="62" t="n">
        <f aca="false">IF($B30&gt;Inputs!$B$11,"",I30/(1+Inputs!$B$45)^A30)</f>
        <v>9359855.36374604</v>
      </c>
    </row>
    <row r="31" customFormat="false" ht="15" hidden="false" customHeight="false" outlineLevel="0" collapsed="false">
      <c r="A31" s="34" t="n">
        <v>27</v>
      </c>
      <c r="B31" s="56" t="n">
        <f aca="false">IF(Inputs!$B$9+26&gt;Inputs!$B$11,"",Inputs!$B$9+26)</f>
        <v>50</v>
      </c>
      <c r="C31" s="57" t="str">
        <f aca="false">IF($B31&gt;Inputs!$B$11,"",IF($B31&lt;Inputs!$B$10,"Accumulation","Retirement"))</f>
        <v>Accumulation</v>
      </c>
      <c r="D31" s="35" t="n">
        <f aca="false">IF($B31&gt;Inputs!$B$11,"",I30)</f>
        <v>42581566.5272974</v>
      </c>
      <c r="E31" s="35" t="n">
        <f aca="false">IF($B31&gt;Inputs!$B$11,"",IF($B31&gt;=Inputs!$B$10,0,Retirement!$B$49*12*(1+Inputs!$B$53)^(A31-1)))</f>
        <v>1211116.11129575</v>
      </c>
      <c r="F31" s="35" t="n">
        <f aca="false">IF($B31&gt;Inputs!$B$11,"",IF($B31&lt;Inputs!$B$10,0,Retirement!$B$23*(1+Inputs!$B$45)^($B31-Inputs!$B$10)))</f>
        <v>0</v>
      </c>
      <c r="G31" s="58" t="n">
        <f aca="false">IF($B31&gt;Inputs!$B$11,"",IF($B31&lt;Inputs!$B$10,Inputs!$B$51,Inputs!$B$52))</f>
        <v>0.1075</v>
      </c>
      <c r="H31" s="35" t="n">
        <f aca="false">IF($B31&gt;Inputs!$B$11,"",(D31-F31)*G31)</f>
        <v>4577518.40168447</v>
      </c>
      <c r="I31" s="35" t="n">
        <f aca="false">IF($B31&gt;Inputs!$B$11,"",D31-F31+H31+E31)</f>
        <v>48370201.0402776</v>
      </c>
      <c r="J31" s="35" t="n">
        <f aca="false">IF($B31&gt;Inputs!$B$11,"",I31/(1+Inputs!$B$45)^A31)</f>
        <v>10030429.5119106</v>
      </c>
    </row>
    <row r="32" customFormat="false" ht="15" hidden="false" customHeight="false" outlineLevel="0" collapsed="false">
      <c r="A32" s="59" t="n">
        <v>28</v>
      </c>
      <c r="B32" s="60" t="n">
        <f aca="false">IF(Inputs!$B$9+27&gt;Inputs!$B$11,"",Inputs!$B$9+27)</f>
        <v>51</v>
      </c>
      <c r="C32" s="61" t="str">
        <f aca="false">IF($B32&gt;Inputs!$B$11,"",IF($B32&lt;Inputs!$B$10,"Accumulation","Retirement"))</f>
        <v>Accumulation</v>
      </c>
      <c r="D32" s="62" t="n">
        <f aca="false">IF($B32&gt;Inputs!$B$11,"",I31)</f>
        <v>48370201.0402776</v>
      </c>
      <c r="E32" s="62" t="n">
        <f aca="false">IF($B32&gt;Inputs!$B$11,"",IF($B32&gt;=Inputs!$B$10,0,Retirement!$B$49*12*(1+Inputs!$B$53)^(A32-1)))</f>
        <v>1332227.72242533</v>
      </c>
      <c r="F32" s="62" t="n">
        <f aca="false">IF($B32&gt;Inputs!$B$11,"",IF($B32&lt;Inputs!$B$10,0,Retirement!$B$23*(1+Inputs!$B$45)^($B32-Inputs!$B$10)))</f>
        <v>0</v>
      </c>
      <c r="G32" s="63" t="n">
        <f aca="false">IF($B32&gt;Inputs!$B$11,"",IF($B32&lt;Inputs!$B$10,Inputs!$B$51,Inputs!$B$52))</f>
        <v>0.1075</v>
      </c>
      <c r="H32" s="62" t="n">
        <f aca="false">IF($B32&gt;Inputs!$B$11,"",(D32-F32)*G32)</f>
        <v>5199796.61182984</v>
      </c>
      <c r="I32" s="62" t="n">
        <f aca="false">IF($B32&gt;Inputs!$B$11,"",D32-F32+H32+E32)</f>
        <v>54902225.3745328</v>
      </c>
      <c r="J32" s="62" t="n">
        <f aca="false">IF($B32&gt;Inputs!$B$11,"",I32/(1+Inputs!$B$45)^A32)</f>
        <v>10740530.2060445</v>
      </c>
    </row>
    <row r="33" customFormat="false" ht="15" hidden="false" customHeight="false" outlineLevel="0" collapsed="false">
      <c r="A33" s="34" t="n">
        <v>29</v>
      </c>
      <c r="B33" s="56" t="n">
        <f aca="false">IF(Inputs!$B$9+28&gt;Inputs!$B$11,"",Inputs!$B$9+28)</f>
        <v>52</v>
      </c>
      <c r="C33" s="57" t="str">
        <f aca="false">IF($B33&gt;Inputs!$B$11,"",IF($B33&lt;Inputs!$B$10,"Accumulation","Retirement"))</f>
        <v>Accumulation</v>
      </c>
      <c r="D33" s="35" t="n">
        <f aca="false">IF($B33&gt;Inputs!$B$11,"",I32)</f>
        <v>54902225.3745328</v>
      </c>
      <c r="E33" s="35" t="n">
        <f aca="false">IF($B33&gt;Inputs!$B$11,"",IF($B33&gt;=Inputs!$B$10,0,Retirement!$B$49*12*(1+Inputs!$B$53)^(A33-1)))</f>
        <v>1465450.49466786</v>
      </c>
      <c r="F33" s="35" t="n">
        <f aca="false">IF($B33&gt;Inputs!$B$11,"",IF($B33&lt;Inputs!$B$10,0,Retirement!$B$23*(1+Inputs!$B$45)^($B33-Inputs!$B$10)))</f>
        <v>0</v>
      </c>
      <c r="G33" s="58" t="n">
        <f aca="false">IF($B33&gt;Inputs!$B$11,"",IF($B33&lt;Inputs!$B$10,Inputs!$B$51,Inputs!$B$52))</f>
        <v>0.1075</v>
      </c>
      <c r="H33" s="35" t="n">
        <f aca="false">IF($B33&gt;Inputs!$B$11,"",(D33-F33)*G33)</f>
        <v>5901989.22776227</v>
      </c>
      <c r="I33" s="35" t="n">
        <f aca="false">IF($B33&gt;Inputs!$B$11,"",D33-F33+H33+E33)</f>
        <v>62269665.0969629</v>
      </c>
      <c r="J33" s="35" t="n">
        <f aca="false">IF($B33&gt;Inputs!$B$11,"",I33/(1+Inputs!$B$45)^A33)</f>
        <v>11492286.3143012</v>
      </c>
    </row>
    <row r="34" customFormat="false" ht="15" hidden="false" customHeight="false" outlineLevel="0" collapsed="false">
      <c r="A34" s="59" t="n">
        <v>30</v>
      </c>
      <c r="B34" s="60" t="n">
        <f aca="false">IF(Inputs!$B$9+29&gt;Inputs!$B$11,"",Inputs!$B$9+29)</f>
        <v>53</v>
      </c>
      <c r="C34" s="61" t="str">
        <f aca="false">IF($B34&gt;Inputs!$B$11,"",IF($B34&lt;Inputs!$B$10,"Accumulation","Retirement"))</f>
        <v>Accumulation</v>
      </c>
      <c r="D34" s="62" t="n">
        <f aca="false">IF($B34&gt;Inputs!$B$11,"",I33)</f>
        <v>62269665.0969629</v>
      </c>
      <c r="E34" s="62" t="n">
        <f aca="false">IF($B34&gt;Inputs!$B$11,"",IF($B34&gt;=Inputs!$B$10,0,Retirement!$B$49*12*(1+Inputs!$B$53)^(A34-1)))</f>
        <v>1611995.54413465</v>
      </c>
      <c r="F34" s="62" t="n">
        <f aca="false">IF($B34&gt;Inputs!$B$11,"",IF($B34&lt;Inputs!$B$10,0,Retirement!$B$23*(1+Inputs!$B$45)^($B34-Inputs!$B$10)))</f>
        <v>0</v>
      </c>
      <c r="G34" s="63" t="n">
        <f aca="false">IF($B34&gt;Inputs!$B$11,"",IF($B34&lt;Inputs!$B$10,Inputs!$B$51,Inputs!$B$52))</f>
        <v>0.1075</v>
      </c>
      <c r="H34" s="62" t="n">
        <f aca="false">IF($B34&gt;Inputs!$B$11,"",(D34-F34)*G34)</f>
        <v>6693988.99792352</v>
      </c>
      <c r="I34" s="62" t="n">
        <f aca="false">IF($B34&gt;Inputs!$B$11,"",D34-F34+H34+E34)</f>
        <v>70575649.6390211</v>
      </c>
      <c r="J34" s="62" t="n">
        <f aca="false">IF($B34&gt;Inputs!$B$11,"",I34/(1+Inputs!$B$45)^A34)</f>
        <v>12287935.597753</v>
      </c>
    </row>
    <row r="35" customFormat="false" ht="15" hidden="false" customHeight="false" outlineLevel="0" collapsed="false">
      <c r="A35" s="34" t="n">
        <v>31</v>
      </c>
      <c r="B35" s="56" t="n">
        <f aca="false">IF(Inputs!$B$9+30&gt;Inputs!$B$11,"",Inputs!$B$9+30)</f>
        <v>54</v>
      </c>
      <c r="C35" s="57" t="str">
        <f aca="false">IF($B35&gt;Inputs!$B$11,"",IF($B35&lt;Inputs!$B$10,"Accumulation","Retirement"))</f>
        <v>Accumulation</v>
      </c>
      <c r="D35" s="35" t="n">
        <f aca="false">IF($B35&gt;Inputs!$B$11,"",I34)</f>
        <v>70575649.6390211</v>
      </c>
      <c r="E35" s="35" t="n">
        <f aca="false">IF($B35&gt;Inputs!$B$11,"",IF($B35&gt;=Inputs!$B$10,0,Retirement!$B$49*12*(1+Inputs!$B$53)^(A35-1)))</f>
        <v>1773195.09854811</v>
      </c>
      <c r="F35" s="35" t="n">
        <f aca="false">IF($B35&gt;Inputs!$B$11,"",IF($B35&lt;Inputs!$B$10,0,Retirement!$B$23*(1+Inputs!$B$45)^($B35-Inputs!$B$10)))</f>
        <v>0</v>
      </c>
      <c r="G35" s="58" t="n">
        <f aca="false">IF($B35&gt;Inputs!$B$11,"",IF($B35&lt;Inputs!$B$10,Inputs!$B$51,Inputs!$B$52))</f>
        <v>0.1075</v>
      </c>
      <c r="H35" s="35" t="n">
        <f aca="false">IF($B35&gt;Inputs!$B$11,"",(D35-F35)*G35)</f>
        <v>7586882.33619477</v>
      </c>
      <c r="I35" s="35" t="n">
        <f aca="false">IF($B35&gt;Inputs!$B$11,"",D35-F35+H35+E35)</f>
        <v>79935727.073764</v>
      </c>
      <c r="J35" s="35" t="n">
        <f aca="false">IF($B35&gt;Inputs!$B$11,"",I35/(1+Inputs!$B$45)^A35)</f>
        <v>13129830.0992922</v>
      </c>
    </row>
    <row r="36" customFormat="false" ht="15" hidden="false" customHeight="false" outlineLevel="0" collapsed="false">
      <c r="A36" s="59" t="n">
        <v>32</v>
      </c>
      <c r="B36" s="60" t="n">
        <f aca="false">IF(Inputs!$B$9+31&gt;Inputs!$B$11,"",Inputs!$B$9+31)</f>
        <v>55</v>
      </c>
      <c r="C36" s="61" t="str">
        <f aca="false">IF($B36&gt;Inputs!$B$11,"",IF($B36&lt;Inputs!$B$10,"Accumulation","Retirement"))</f>
        <v>Accumulation</v>
      </c>
      <c r="D36" s="62" t="n">
        <f aca="false">IF($B36&gt;Inputs!$B$11,"",I35)</f>
        <v>79935727.073764</v>
      </c>
      <c r="E36" s="62" t="n">
        <f aca="false">IF($B36&gt;Inputs!$B$11,"",IF($B36&gt;=Inputs!$B$10,0,Retirement!$B$49*12*(1+Inputs!$B$53)^(A36-1)))</f>
        <v>1950514.60840292</v>
      </c>
      <c r="F36" s="62" t="n">
        <f aca="false">IF($B36&gt;Inputs!$B$11,"",IF($B36&lt;Inputs!$B$10,0,Retirement!$B$23*(1+Inputs!$B$45)^($B36-Inputs!$B$10)))</f>
        <v>0</v>
      </c>
      <c r="G36" s="63" t="n">
        <f aca="false">IF($B36&gt;Inputs!$B$11,"",IF($B36&lt;Inputs!$B$10,Inputs!$B$51,Inputs!$B$52))</f>
        <v>0.1075</v>
      </c>
      <c r="H36" s="62" t="n">
        <f aca="false">IF($B36&gt;Inputs!$B$11,"",(D36-F36)*G36)</f>
        <v>8593090.66042963</v>
      </c>
      <c r="I36" s="62" t="n">
        <f aca="false">IF($B36&gt;Inputs!$B$11,"",D36-F36+H36+E36)</f>
        <v>90479332.3425965</v>
      </c>
      <c r="J36" s="62" t="n">
        <f aca="false">IF($B36&gt;Inputs!$B$11,"",I36/(1+Inputs!$B$45)^A36)</f>
        <v>14020441.7932327</v>
      </c>
    </row>
    <row r="37" customFormat="false" ht="15" hidden="false" customHeight="false" outlineLevel="0" collapsed="false">
      <c r="A37" s="34" t="n">
        <v>33</v>
      </c>
      <c r="B37" s="56" t="n">
        <f aca="false">IF(Inputs!$B$9+32&gt;Inputs!$B$11,"",Inputs!$B$9+32)</f>
        <v>56</v>
      </c>
      <c r="C37" s="57" t="str">
        <f aca="false">IF($B37&gt;Inputs!$B$11,"",IF($B37&lt;Inputs!$B$10,"Accumulation","Retirement"))</f>
        <v>Accumulation</v>
      </c>
      <c r="D37" s="35" t="n">
        <f aca="false">IF($B37&gt;Inputs!$B$11,"",I36)</f>
        <v>90479332.3425965</v>
      </c>
      <c r="E37" s="35" t="n">
        <f aca="false">IF($B37&gt;Inputs!$B$11,"",IF($B37&gt;=Inputs!$B$10,0,Retirement!$B$49*12*(1+Inputs!$B$53)^(A37-1)))</f>
        <v>2145566.06924322</v>
      </c>
      <c r="F37" s="35" t="n">
        <f aca="false">IF($B37&gt;Inputs!$B$11,"",IF($B37&lt;Inputs!$B$10,0,Retirement!$B$23*(1+Inputs!$B$45)^($B37-Inputs!$B$10)))</f>
        <v>0</v>
      </c>
      <c r="G37" s="58" t="n">
        <f aca="false">IF($B37&gt;Inputs!$B$11,"",IF($B37&lt;Inputs!$B$10,Inputs!$B$51,Inputs!$B$52))</f>
        <v>0.1075</v>
      </c>
      <c r="H37" s="35" t="n">
        <f aca="false">IF($B37&gt;Inputs!$B$11,"",(D37-F37)*G37)</f>
        <v>9726528.22682913</v>
      </c>
      <c r="I37" s="35" t="n">
        <f aca="false">IF($B37&gt;Inputs!$B$11,"",D37-F37+H37+E37)</f>
        <v>102351426.638669</v>
      </c>
      <c r="J37" s="35" t="n">
        <f aca="false">IF($B37&gt;Inputs!$B$11,"",I37/(1+Inputs!$B$45)^A37)</f>
        <v>14962368.5080207</v>
      </c>
    </row>
    <row r="38" customFormat="false" ht="15" hidden="false" customHeight="false" outlineLevel="0" collapsed="false">
      <c r="A38" s="59" t="n">
        <v>34</v>
      </c>
      <c r="B38" s="60" t="n">
        <f aca="false">IF(Inputs!$B$9+33&gt;Inputs!$B$11,"",Inputs!$B$9+33)</f>
        <v>57</v>
      </c>
      <c r="C38" s="61" t="str">
        <f aca="false">IF($B38&gt;Inputs!$B$11,"",IF($B38&lt;Inputs!$B$10,"Accumulation","Retirement"))</f>
        <v>Accumulation</v>
      </c>
      <c r="D38" s="62" t="n">
        <f aca="false">IF($B38&gt;Inputs!$B$11,"",I37)</f>
        <v>102351426.638669</v>
      </c>
      <c r="E38" s="62" t="n">
        <f aca="false">IF($B38&gt;Inputs!$B$11,"",IF($B38&gt;=Inputs!$B$10,0,Retirement!$B$49*12*(1+Inputs!$B$53)^(A38-1)))</f>
        <v>2360122.67616754</v>
      </c>
      <c r="F38" s="62" t="n">
        <f aca="false">IF($B38&gt;Inputs!$B$11,"",IF($B38&lt;Inputs!$B$10,0,Retirement!$B$23*(1+Inputs!$B$45)^($B38-Inputs!$B$10)))</f>
        <v>0</v>
      </c>
      <c r="G38" s="63" t="n">
        <f aca="false">IF($B38&gt;Inputs!$B$11,"",IF($B38&lt;Inputs!$B$10,Inputs!$B$51,Inputs!$B$52))</f>
        <v>0.1075</v>
      </c>
      <c r="H38" s="62" t="n">
        <f aca="false">IF($B38&gt;Inputs!$B$11,"",(D38-F38)*G38)</f>
        <v>11002778.3636569</v>
      </c>
      <c r="I38" s="62" t="n">
        <f aca="false">IF($B38&gt;Inputs!$B$11,"",D38-F38+H38+E38)</f>
        <v>115714327.678493</v>
      </c>
      <c r="J38" s="62" t="n">
        <f aca="false">IF($B38&gt;Inputs!$B$11,"",I38/(1+Inputs!$B$45)^A38)</f>
        <v>15958340.1350457</v>
      </c>
    </row>
    <row r="39" customFormat="false" ht="15" hidden="false" customHeight="false" outlineLevel="0" collapsed="false">
      <c r="A39" s="34" t="n">
        <v>35</v>
      </c>
      <c r="B39" s="56" t="n">
        <f aca="false">IF(Inputs!$B$9+34&gt;Inputs!$B$11,"",Inputs!$B$9+34)</f>
        <v>58</v>
      </c>
      <c r="C39" s="57" t="str">
        <f aca="false">IF($B39&gt;Inputs!$B$11,"",IF($B39&lt;Inputs!$B$10,"Accumulation","Retirement"))</f>
        <v>Accumulation</v>
      </c>
      <c r="D39" s="35" t="n">
        <f aca="false">IF($B39&gt;Inputs!$B$11,"",I38)</f>
        <v>115714327.678493</v>
      </c>
      <c r="E39" s="35" t="n">
        <f aca="false">IF($B39&gt;Inputs!$B$11,"",IF($B39&gt;=Inputs!$B$10,0,Retirement!$B$49*12*(1+Inputs!$B$53)^(A39-1)))</f>
        <v>2596134.94378429</v>
      </c>
      <c r="F39" s="35" t="n">
        <f aca="false">IF($B39&gt;Inputs!$B$11,"",IF($B39&lt;Inputs!$B$10,0,Retirement!$B$23*(1+Inputs!$B$45)^($B39-Inputs!$B$10)))</f>
        <v>0</v>
      </c>
      <c r="G39" s="58" t="n">
        <f aca="false">IF($B39&gt;Inputs!$B$11,"",IF($B39&lt;Inputs!$B$10,Inputs!$B$51,Inputs!$B$52))</f>
        <v>0.1075</v>
      </c>
      <c r="H39" s="35" t="n">
        <f aca="false">IF($B39&gt;Inputs!$B$11,"",(D39-F39)*G39)</f>
        <v>12439290.225438</v>
      </c>
      <c r="I39" s="35" t="n">
        <f aca="false">IF($B39&gt;Inputs!$B$11,"",D39-F39+H39+E39)</f>
        <v>130749752.847716</v>
      </c>
      <c r="J39" s="35" t="n">
        <f aca="false">IF($B39&gt;Inputs!$B$11,"",I39/(1+Inputs!$B$45)^A39)</f>
        <v>17011225.137152</v>
      </c>
    </row>
    <row r="40" customFormat="false" ht="15" hidden="false" customHeight="false" outlineLevel="0" collapsed="false">
      <c r="A40" s="59" t="n">
        <v>36</v>
      </c>
      <c r="B40" s="60" t="n">
        <f aca="false">IF(Inputs!$B$9+35&gt;Inputs!$B$11,"",Inputs!$B$9+35)</f>
        <v>59</v>
      </c>
      <c r="C40" s="61" t="str">
        <f aca="false">IF($B40&gt;Inputs!$B$11,"",IF($B40&lt;Inputs!$B$10,"Accumulation","Retirement"))</f>
        <v>Accumulation</v>
      </c>
      <c r="D40" s="62" t="n">
        <f aca="false">IF($B40&gt;Inputs!$B$11,"",I39)</f>
        <v>130749752.847716</v>
      </c>
      <c r="E40" s="62" t="n">
        <f aca="false">IF($B40&gt;Inputs!$B$11,"",IF($B40&gt;=Inputs!$B$10,0,Retirement!$B$49*12*(1+Inputs!$B$53)^(A40-1)))</f>
        <v>2855748.43816272</v>
      </c>
      <c r="F40" s="62" t="n">
        <f aca="false">IF($B40&gt;Inputs!$B$11,"",IF($B40&lt;Inputs!$B$10,0,Retirement!$B$23*(1+Inputs!$B$45)^($B40-Inputs!$B$10)))</f>
        <v>0</v>
      </c>
      <c r="G40" s="63" t="n">
        <f aca="false">IF($B40&gt;Inputs!$B$11,"",IF($B40&lt;Inputs!$B$10,Inputs!$B$51,Inputs!$B$52))</f>
        <v>0.1075</v>
      </c>
      <c r="H40" s="62" t="n">
        <f aca="false">IF($B40&gt;Inputs!$B$11,"",(D40-F40)*G40)</f>
        <v>14055598.4311294</v>
      </c>
      <c r="I40" s="62" t="n">
        <f aca="false">IF($B40&gt;Inputs!$B$11,"",D40-F40+H40+E40)</f>
        <v>147661099.717008</v>
      </c>
      <c r="J40" s="62" t="n">
        <f aca="false">IF($B40&gt;Inputs!$B$11,"",I40/(1+Inputs!$B$45)^A40)</f>
        <v>18124037.3710923</v>
      </c>
    </row>
    <row r="41" customFormat="false" ht="15" hidden="false" customHeight="false" outlineLevel="0" collapsed="false">
      <c r="A41" s="34" t="n">
        <v>37</v>
      </c>
      <c r="B41" s="56" t="n">
        <f aca="false">IF(Inputs!$B$9+36&gt;Inputs!$B$11,"",Inputs!$B$9+36)</f>
        <v>60</v>
      </c>
      <c r="C41" s="57" t="str">
        <f aca="false">IF($B41&gt;Inputs!$B$11,"",IF($B41&lt;Inputs!$B$10,"Accumulation","Retirement"))</f>
        <v>Retirement</v>
      </c>
      <c r="D41" s="35" t="n">
        <f aca="false">IF($B41&gt;Inputs!$B$11,"",I40)</f>
        <v>147661099.717008</v>
      </c>
      <c r="E41" s="35" t="n">
        <f aca="false">IF($B41&gt;Inputs!$B$11,"",IF($B41&gt;=Inputs!$B$10,0,Retirement!$B$49*12*(1+Inputs!$B$53)^(A41-1)))</f>
        <v>0</v>
      </c>
      <c r="F41" s="35" t="n">
        <f aca="false">IF($B41&gt;Inputs!$B$11,"",IF($B41&lt;Inputs!$B$10,0,Retirement!$B$23*(1+Inputs!$B$45)^($B41-Inputs!$B$10)))</f>
        <v>5499395.09989949</v>
      </c>
      <c r="G41" s="58" t="n">
        <f aca="false">IF($B41&gt;Inputs!$B$11,"",IF($B41&lt;Inputs!$B$10,Inputs!$B$51,Inputs!$B$52))</f>
        <v>0.075</v>
      </c>
      <c r="H41" s="35" t="n">
        <f aca="false">IF($B41&gt;Inputs!$B$11,"",(D41-F41)*G41)</f>
        <v>10662127.8462831</v>
      </c>
      <c r="I41" s="35" t="n">
        <f aca="false">IF($B41&gt;Inputs!$B$11,"",D41-F41+H41+E41)</f>
        <v>152823832.463391</v>
      </c>
      <c r="J41" s="35" t="n">
        <f aca="false">IF($B41&gt;Inputs!$B$11,"",I41/(1+Inputs!$B$45)^A41)</f>
        <v>17695957.7112493</v>
      </c>
    </row>
    <row r="42" customFormat="false" ht="15" hidden="false" customHeight="false" outlineLevel="0" collapsed="false">
      <c r="A42" s="59" t="n">
        <v>38</v>
      </c>
      <c r="B42" s="60" t="n">
        <f aca="false">IF(Inputs!$B$9+37&gt;Inputs!$B$11,"",Inputs!$B$9+37)</f>
        <v>61</v>
      </c>
      <c r="C42" s="61" t="str">
        <f aca="false">IF($B42&gt;Inputs!$B$11,"",IF($B42&lt;Inputs!$B$10,"Accumulation","Retirement"))</f>
        <v>Retirement</v>
      </c>
      <c r="D42" s="62" t="n">
        <f aca="false">IF($B42&gt;Inputs!$B$11,"",I41)</f>
        <v>152823832.463391</v>
      </c>
      <c r="E42" s="62" t="n">
        <f aca="false">IF($B42&gt;Inputs!$B$11,"",IF($B42&gt;=Inputs!$B$10,0,Retirement!$B$49*12*(1+Inputs!$B$53)^(A42-1)))</f>
        <v>0</v>
      </c>
      <c r="F42" s="62" t="n">
        <f aca="false">IF($B42&gt;Inputs!$B$11,"",IF($B42&lt;Inputs!$B$10,0,Retirement!$B$23*(1+Inputs!$B$45)^($B42-Inputs!$B$10)))</f>
        <v>5829358.80589346</v>
      </c>
      <c r="G42" s="63" t="n">
        <f aca="false">IF($B42&gt;Inputs!$B$11,"",IF($B42&lt;Inputs!$B$10,Inputs!$B$51,Inputs!$B$52))</f>
        <v>0.075</v>
      </c>
      <c r="H42" s="62" t="n">
        <f aca="false">IF($B42&gt;Inputs!$B$11,"",(D42-F42)*G42)</f>
        <v>11024585.5243123</v>
      </c>
      <c r="I42" s="62" t="n">
        <f aca="false">IF($B42&gt;Inputs!$B$11,"",D42-F42+H42+E42)</f>
        <v>158019059.18181</v>
      </c>
      <c r="J42" s="62" t="n">
        <f aca="false">IF($B42&gt;Inputs!$B$11,"",I42/(1+Inputs!$B$45)^A42)</f>
        <v>17261820.3203707</v>
      </c>
    </row>
    <row r="43" customFormat="false" ht="15" hidden="false" customHeight="false" outlineLevel="0" collapsed="false">
      <c r="A43" s="34" t="n">
        <v>39</v>
      </c>
      <c r="B43" s="56" t="n">
        <f aca="false">IF(Inputs!$B$9+38&gt;Inputs!$B$11,"",Inputs!$B$9+38)</f>
        <v>62</v>
      </c>
      <c r="C43" s="57" t="str">
        <f aca="false">IF($B43&gt;Inputs!$B$11,"",IF($B43&lt;Inputs!$B$10,"Accumulation","Retirement"))</f>
        <v>Retirement</v>
      </c>
      <c r="D43" s="35" t="n">
        <f aca="false">IF($B43&gt;Inputs!$B$11,"",I42)</f>
        <v>158019059.18181</v>
      </c>
      <c r="E43" s="35" t="n">
        <f aca="false">IF($B43&gt;Inputs!$B$11,"",IF($B43&gt;=Inputs!$B$10,0,Retirement!$B$49*12*(1+Inputs!$B$53)^(A43-1)))</f>
        <v>0</v>
      </c>
      <c r="F43" s="35" t="n">
        <f aca="false">IF($B43&gt;Inputs!$B$11,"",IF($B43&lt;Inputs!$B$10,0,Retirement!$B$23*(1+Inputs!$B$45)^($B43-Inputs!$B$10)))</f>
        <v>6179120.33424706</v>
      </c>
      <c r="G43" s="58" t="n">
        <f aca="false">IF($B43&gt;Inputs!$B$11,"",IF($B43&lt;Inputs!$B$10,Inputs!$B$51,Inputs!$B$52))</f>
        <v>0.075</v>
      </c>
      <c r="H43" s="35" t="n">
        <f aca="false">IF($B43&gt;Inputs!$B$11,"",(D43-F43)*G43)</f>
        <v>11387995.4135672</v>
      </c>
      <c r="I43" s="35" t="n">
        <f aca="false">IF($B43&gt;Inputs!$B$11,"",D43-F43+H43+E43)</f>
        <v>163227934.26113</v>
      </c>
      <c r="J43" s="35" t="n">
        <f aca="false">IF($B43&gt;Inputs!$B$11,"",I43/(1+Inputs!$B$45)^A43)</f>
        <v>16821539.4758477</v>
      </c>
    </row>
    <row r="44" customFormat="false" ht="15" hidden="false" customHeight="false" outlineLevel="0" collapsed="false">
      <c r="A44" s="59" t="n">
        <v>40</v>
      </c>
      <c r="B44" s="60" t="n">
        <f aca="false">IF(Inputs!$B$9+39&gt;Inputs!$B$11,"",Inputs!$B$9+39)</f>
        <v>63</v>
      </c>
      <c r="C44" s="61" t="str">
        <f aca="false">IF($B44&gt;Inputs!$B$11,"",IF($B44&lt;Inputs!$B$10,"Accumulation","Retirement"))</f>
        <v>Retirement</v>
      </c>
      <c r="D44" s="62" t="n">
        <f aca="false">IF($B44&gt;Inputs!$B$11,"",I43)</f>
        <v>163227934.26113</v>
      </c>
      <c r="E44" s="62" t="n">
        <f aca="false">IF($B44&gt;Inputs!$B$11,"",IF($B44&gt;=Inputs!$B$10,0,Retirement!$B$49*12*(1+Inputs!$B$53)^(A44-1)))</f>
        <v>0</v>
      </c>
      <c r="F44" s="62" t="n">
        <f aca="false">IF($B44&gt;Inputs!$B$11,"",IF($B44&lt;Inputs!$B$10,0,Retirement!$B$23*(1+Inputs!$B$45)^($B44-Inputs!$B$10)))</f>
        <v>6549867.55430189</v>
      </c>
      <c r="G44" s="63" t="n">
        <f aca="false">IF($B44&gt;Inputs!$B$11,"",IF($B44&lt;Inputs!$B$10,Inputs!$B$51,Inputs!$B$52))</f>
        <v>0.075</v>
      </c>
      <c r="H44" s="62" t="n">
        <f aca="false">IF($B44&gt;Inputs!$B$11,"",(D44-F44)*G44)</f>
        <v>11750855.0030121</v>
      </c>
      <c r="I44" s="62" t="n">
        <f aca="false">IF($B44&gt;Inputs!$B$11,"",D44-F44+H44+E44)</f>
        <v>168428921.709841</v>
      </c>
      <c r="J44" s="62" t="n">
        <f aca="false">IF($B44&gt;Inputs!$B$11,"",I44/(1+Inputs!$B$45)^A44)</f>
        <v>16375028.2420153</v>
      </c>
    </row>
    <row r="45" customFormat="false" ht="15" hidden="false" customHeight="false" outlineLevel="0" collapsed="false">
      <c r="A45" s="34" t="n">
        <v>41</v>
      </c>
      <c r="B45" s="56" t="n">
        <f aca="false">IF(Inputs!$B$9+40&gt;Inputs!$B$11,"",Inputs!$B$9+40)</f>
        <v>64</v>
      </c>
      <c r="C45" s="57" t="str">
        <f aca="false">IF($B45&gt;Inputs!$B$11,"",IF($B45&lt;Inputs!$B$10,"Accumulation","Retirement"))</f>
        <v>Retirement</v>
      </c>
      <c r="D45" s="35" t="n">
        <f aca="false">IF($B45&gt;Inputs!$B$11,"",I44)</f>
        <v>168428921.709841</v>
      </c>
      <c r="E45" s="35" t="n">
        <f aca="false">IF($B45&gt;Inputs!$B$11,"",IF($B45&gt;=Inputs!$B$10,0,Retirement!$B$49*12*(1+Inputs!$B$53)^(A45-1)))</f>
        <v>0</v>
      </c>
      <c r="F45" s="35" t="n">
        <f aca="false">IF($B45&gt;Inputs!$B$11,"",IF($B45&lt;Inputs!$B$10,0,Retirement!$B$23*(1+Inputs!$B$45)^($B45-Inputs!$B$10)))</f>
        <v>6942859.60756</v>
      </c>
      <c r="G45" s="58" t="n">
        <f aca="false">IF($B45&gt;Inputs!$B$11,"",IF($B45&lt;Inputs!$B$10,Inputs!$B$51,Inputs!$B$52))</f>
        <v>0.075</v>
      </c>
      <c r="H45" s="35" t="n">
        <f aca="false">IF($B45&gt;Inputs!$B$11,"",(D45-F45)*G45)</f>
        <v>12111454.6576711</v>
      </c>
      <c r="I45" s="35" t="n">
        <f aca="false">IF($B45&gt;Inputs!$B$11,"",D45-F45+H45+E45)</f>
        <v>173597516.759952</v>
      </c>
      <c r="J45" s="35" t="n">
        <f aca="false">IF($B45&gt;Inputs!$B$11,"",I45/(1+Inputs!$B$45)^A45)</f>
        <v>15922198.4529872</v>
      </c>
    </row>
    <row r="46" customFormat="false" ht="15" hidden="false" customHeight="false" outlineLevel="0" collapsed="false">
      <c r="A46" s="59" t="n">
        <v>42</v>
      </c>
      <c r="B46" s="60" t="n">
        <f aca="false">IF(Inputs!$B$9+41&gt;Inputs!$B$11,"",Inputs!$B$9+41)</f>
        <v>65</v>
      </c>
      <c r="C46" s="61" t="str">
        <f aca="false">IF($B46&gt;Inputs!$B$11,"",IF($B46&lt;Inputs!$B$10,"Accumulation","Retirement"))</f>
        <v>Retirement</v>
      </c>
      <c r="D46" s="62" t="n">
        <f aca="false">IF($B46&gt;Inputs!$B$11,"",I45)</f>
        <v>173597516.759952</v>
      </c>
      <c r="E46" s="62" t="n">
        <f aca="false">IF($B46&gt;Inputs!$B$11,"",IF($B46&gt;=Inputs!$B$10,0,Retirement!$B$49*12*(1+Inputs!$B$53)^(A46-1)))</f>
        <v>0</v>
      </c>
      <c r="F46" s="62" t="n">
        <f aca="false">IF($B46&gt;Inputs!$B$11,"",IF($B46&lt;Inputs!$B$10,0,Retirement!$B$23*(1+Inputs!$B$45)^($B46-Inputs!$B$10)))</f>
        <v>7359431.1840136</v>
      </c>
      <c r="G46" s="63" t="n">
        <f aca="false">IF($B46&gt;Inputs!$B$11,"",IF($B46&lt;Inputs!$B$10,Inputs!$B$51,Inputs!$B$52))</f>
        <v>0.075</v>
      </c>
      <c r="H46" s="62" t="n">
        <f aca="false">IF($B46&gt;Inputs!$B$11,"",(D46-F46)*G46)</f>
        <v>12467856.4181954</v>
      </c>
      <c r="I46" s="62" t="n">
        <f aca="false">IF($B46&gt;Inputs!$B$11,"",D46-F46+H46+E46)</f>
        <v>178705941.994134</v>
      </c>
      <c r="J46" s="62" t="n">
        <f aca="false">IF($B46&gt;Inputs!$B$11,"",I46/(1+Inputs!$B$45)^A46)</f>
        <v>15462960.6952465</v>
      </c>
    </row>
    <row r="47" customFormat="false" ht="15" hidden="false" customHeight="false" outlineLevel="0" collapsed="false">
      <c r="A47" s="34" t="n">
        <v>43</v>
      </c>
      <c r="B47" s="56" t="n">
        <f aca="false">IF(Inputs!$B$9+42&gt;Inputs!$B$11,"",Inputs!$B$9+42)</f>
        <v>66</v>
      </c>
      <c r="C47" s="57" t="str">
        <f aca="false">IF($B47&gt;Inputs!$B$11,"",IF($B47&lt;Inputs!$B$10,"Accumulation","Retirement"))</f>
        <v>Retirement</v>
      </c>
      <c r="D47" s="35" t="n">
        <f aca="false">IF($B47&gt;Inputs!$B$11,"",I46)</f>
        <v>178705941.994134</v>
      </c>
      <c r="E47" s="35" t="n">
        <f aca="false">IF($B47&gt;Inputs!$B$11,"",IF($B47&gt;=Inputs!$B$10,0,Retirement!$B$49*12*(1+Inputs!$B$53)^(A47-1)))</f>
        <v>0</v>
      </c>
      <c r="F47" s="35" t="n">
        <f aca="false">IF($B47&gt;Inputs!$B$11,"",IF($B47&lt;Inputs!$B$10,0,Retirement!$B$23*(1+Inputs!$B$45)^($B47-Inputs!$B$10)))</f>
        <v>7800997.05505442</v>
      </c>
      <c r="G47" s="58" t="n">
        <f aca="false">IF($B47&gt;Inputs!$B$11,"",IF($B47&lt;Inputs!$B$10,Inputs!$B$51,Inputs!$B$52))</f>
        <v>0.075</v>
      </c>
      <c r="H47" s="35" t="n">
        <f aca="false">IF($B47&gt;Inputs!$B$11,"",(D47-F47)*G47)</f>
        <v>12817870.8704309</v>
      </c>
      <c r="I47" s="35" t="n">
        <f aca="false">IF($B47&gt;Inputs!$B$11,"",D47-F47+H47+E47)</f>
        <v>183722815.80951</v>
      </c>
      <c r="J47" s="35" t="n">
        <f aca="false">IF($B47&gt;Inputs!$B$11,"",I47/(1+Inputs!$B$45)^A47)</f>
        <v>14997224.2899906</v>
      </c>
    </row>
    <row r="48" customFormat="false" ht="15" hidden="false" customHeight="false" outlineLevel="0" collapsed="false">
      <c r="A48" s="59" t="n">
        <v>44</v>
      </c>
      <c r="B48" s="60" t="n">
        <f aca="false">IF(Inputs!$B$9+43&gt;Inputs!$B$11,"",Inputs!$B$9+43)</f>
        <v>67</v>
      </c>
      <c r="C48" s="61" t="str">
        <f aca="false">IF($B48&gt;Inputs!$B$11,"",IF($B48&lt;Inputs!$B$10,"Accumulation","Retirement"))</f>
        <v>Retirement</v>
      </c>
      <c r="D48" s="62" t="n">
        <f aca="false">IF($B48&gt;Inputs!$B$11,"",I47)</f>
        <v>183722815.80951</v>
      </c>
      <c r="E48" s="62" t="n">
        <f aca="false">IF($B48&gt;Inputs!$B$11,"",IF($B48&gt;=Inputs!$B$10,0,Retirement!$B$49*12*(1+Inputs!$B$53)^(A48-1)))</f>
        <v>0</v>
      </c>
      <c r="F48" s="62" t="n">
        <f aca="false">IF($B48&gt;Inputs!$B$11,"",IF($B48&lt;Inputs!$B$10,0,Retirement!$B$23*(1+Inputs!$B$45)^($B48-Inputs!$B$10)))</f>
        <v>8269056.87835768</v>
      </c>
      <c r="G48" s="63" t="n">
        <f aca="false">IF($B48&gt;Inputs!$B$11,"",IF($B48&lt;Inputs!$B$10,Inputs!$B$51,Inputs!$B$52))</f>
        <v>0.075</v>
      </c>
      <c r="H48" s="62" t="n">
        <f aca="false">IF($B48&gt;Inputs!$B$11,"",(D48-F48)*G48)</f>
        <v>13159031.9198364</v>
      </c>
      <c r="I48" s="62" t="n">
        <f aca="false">IF($B48&gt;Inputs!$B$11,"",D48-F48+H48+E48)</f>
        <v>188612790.850989</v>
      </c>
      <c r="J48" s="62" t="n">
        <f aca="false">IF($B48&gt;Inputs!$B$11,"",I48/(1+Inputs!$B$45)^A48)</f>
        <v>14524897.2752263</v>
      </c>
    </row>
    <row r="49" customFormat="false" ht="15" hidden="false" customHeight="false" outlineLevel="0" collapsed="false">
      <c r="A49" s="34" t="n">
        <v>45</v>
      </c>
      <c r="B49" s="56" t="n">
        <f aca="false">IF(Inputs!$B$9+44&gt;Inputs!$B$11,"",Inputs!$B$9+44)</f>
        <v>68</v>
      </c>
      <c r="C49" s="57" t="str">
        <f aca="false">IF($B49&gt;Inputs!$B$11,"",IF($B49&lt;Inputs!$B$10,"Accumulation","Retirement"))</f>
        <v>Retirement</v>
      </c>
      <c r="D49" s="35" t="n">
        <f aca="false">IF($B49&gt;Inputs!$B$11,"",I48)</f>
        <v>188612790.850989</v>
      </c>
      <c r="E49" s="35" t="n">
        <f aca="false">IF($B49&gt;Inputs!$B$11,"",IF($B49&gt;=Inputs!$B$10,0,Retirement!$B$49*12*(1+Inputs!$B$53)^(A49-1)))</f>
        <v>0</v>
      </c>
      <c r="F49" s="35" t="n">
        <f aca="false">IF($B49&gt;Inputs!$B$11,"",IF($B49&lt;Inputs!$B$10,0,Retirement!$B$23*(1+Inputs!$B$45)^($B49-Inputs!$B$10)))</f>
        <v>8765200.29105914</v>
      </c>
      <c r="G49" s="58" t="n">
        <f aca="false">IF($B49&gt;Inputs!$B$11,"",IF($B49&lt;Inputs!$B$10,Inputs!$B$51,Inputs!$B$52))</f>
        <v>0.075</v>
      </c>
      <c r="H49" s="35" t="n">
        <f aca="false">IF($B49&gt;Inputs!$B$11,"",(D49-F49)*G49)</f>
        <v>13488569.2919947</v>
      </c>
      <c r="I49" s="35" t="n">
        <f aca="false">IF($B49&gt;Inputs!$B$11,"",D49-F49+H49+E49)</f>
        <v>193336159.851924</v>
      </c>
      <c r="J49" s="35" t="n">
        <f aca="false">IF($B49&gt;Inputs!$B$11,"",I49/(1+Inputs!$B$45)^A49)</f>
        <v>14045886.3876115</v>
      </c>
    </row>
    <row r="50" customFormat="false" ht="15" hidden="false" customHeight="false" outlineLevel="0" collapsed="false">
      <c r="A50" s="59" t="n">
        <v>46</v>
      </c>
      <c r="B50" s="60" t="n">
        <f aca="false">IF(Inputs!$B$9+45&gt;Inputs!$B$11,"",Inputs!$B$9+45)</f>
        <v>69</v>
      </c>
      <c r="C50" s="61" t="str">
        <f aca="false">IF($B50&gt;Inputs!$B$11,"",IF($B50&lt;Inputs!$B$10,"Accumulation","Retirement"))</f>
        <v>Retirement</v>
      </c>
      <c r="D50" s="62" t="n">
        <f aca="false">IF($B50&gt;Inputs!$B$11,"",I49)</f>
        <v>193336159.851924</v>
      </c>
      <c r="E50" s="62" t="n">
        <f aca="false">IF($B50&gt;Inputs!$B$11,"",IF($B50&gt;=Inputs!$B$10,0,Retirement!$B$49*12*(1+Inputs!$B$53)^(A50-1)))</f>
        <v>0</v>
      </c>
      <c r="F50" s="62" t="n">
        <f aca="false">IF($B50&gt;Inputs!$B$11,"",IF($B50&lt;Inputs!$B$10,0,Retirement!$B$23*(1+Inputs!$B$45)^($B50-Inputs!$B$10)))</f>
        <v>9291112.30852269</v>
      </c>
      <c r="G50" s="63" t="n">
        <f aca="false">IF($B50&gt;Inputs!$B$11,"",IF($B50&lt;Inputs!$B$10,Inputs!$B$51,Inputs!$B$52))</f>
        <v>0.075</v>
      </c>
      <c r="H50" s="62" t="n">
        <f aca="false">IF($B50&gt;Inputs!$B$11,"",(D50-F50)*G50)</f>
        <v>13803378.5657551</v>
      </c>
      <c r="I50" s="62" t="n">
        <f aca="false">IF($B50&gt;Inputs!$B$11,"",D50-F50+H50+E50)</f>
        <v>197848426.109157</v>
      </c>
      <c r="J50" s="62" t="n">
        <f aca="false">IF($B50&gt;Inputs!$B$11,"",I50/(1+Inputs!$B$45)^A50)</f>
        <v>13560097.04404</v>
      </c>
    </row>
    <row r="51" customFormat="false" ht="15" hidden="false" customHeight="false" outlineLevel="0" collapsed="false">
      <c r="A51" s="34" t="n">
        <v>47</v>
      </c>
      <c r="B51" s="56" t="n">
        <f aca="false">IF(Inputs!$B$9+46&gt;Inputs!$B$11,"",Inputs!$B$9+46)</f>
        <v>70</v>
      </c>
      <c r="C51" s="57" t="str">
        <f aca="false">IF($B51&gt;Inputs!$B$11,"",IF($B51&lt;Inputs!$B$10,"Accumulation","Retirement"))</f>
        <v>Retirement</v>
      </c>
      <c r="D51" s="35" t="n">
        <f aca="false">IF($B51&gt;Inputs!$B$11,"",I50)</f>
        <v>197848426.109157</v>
      </c>
      <c r="E51" s="35" t="n">
        <f aca="false">IF($B51&gt;Inputs!$B$11,"",IF($B51&gt;=Inputs!$B$10,0,Retirement!$B$49*12*(1+Inputs!$B$53)^(A51-1)))</f>
        <v>0</v>
      </c>
      <c r="F51" s="35" t="n">
        <f aca="false">IF($B51&gt;Inputs!$B$11,"",IF($B51&lt;Inputs!$B$10,0,Retirement!$B$23*(1+Inputs!$B$45)^($B51-Inputs!$B$10)))</f>
        <v>9848579.04703406</v>
      </c>
      <c r="G51" s="58" t="n">
        <f aca="false">IF($B51&gt;Inputs!$B$11,"",IF($B51&lt;Inputs!$B$10,Inputs!$B$51,Inputs!$B$52))</f>
        <v>0.075</v>
      </c>
      <c r="H51" s="35" t="n">
        <f aca="false">IF($B51&gt;Inputs!$B$11,"",(D51-F51)*G51)</f>
        <v>14099988.5296592</v>
      </c>
      <c r="I51" s="35" t="n">
        <f aca="false">IF($B51&gt;Inputs!$B$11,"",D51-F51+H51+E51)</f>
        <v>202099835.591782</v>
      </c>
      <c r="J51" s="35" t="n">
        <f aca="false">IF($B51&gt;Inputs!$B$11,"",I51/(1+Inputs!$B$45)^A51)</f>
        <v>13067433.3229651</v>
      </c>
    </row>
    <row r="52" customFormat="false" ht="15" hidden="false" customHeight="false" outlineLevel="0" collapsed="false">
      <c r="A52" s="59" t="n">
        <v>48</v>
      </c>
      <c r="B52" s="60" t="n">
        <f aca="false">IF(Inputs!$B$9+47&gt;Inputs!$B$11,"",Inputs!$B$9+47)</f>
        <v>71</v>
      </c>
      <c r="C52" s="61" t="str">
        <f aca="false">IF($B52&gt;Inputs!$B$11,"",IF($B52&lt;Inputs!$B$10,"Accumulation","Retirement"))</f>
        <v>Retirement</v>
      </c>
      <c r="D52" s="62" t="n">
        <f aca="false">IF($B52&gt;Inputs!$B$11,"",I51)</f>
        <v>202099835.591782</v>
      </c>
      <c r="E52" s="62" t="n">
        <f aca="false">IF($B52&gt;Inputs!$B$11,"",IF($B52&gt;=Inputs!$B$10,0,Retirement!$B$49*12*(1+Inputs!$B$53)^(A52-1)))</f>
        <v>0</v>
      </c>
      <c r="F52" s="62" t="n">
        <f aca="false">IF($B52&gt;Inputs!$B$11,"",IF($B52&lt;Inputs!$B$10,0,Retirement!$B$23*(1+Inputs!$B$45)^($B52-Inputs!$B$10)))</f>
        <v>10439493.7898561</v>
      </c>
      <c r="G52" s="63" t="n">
        <f aca="false">IF($B52&gt;Inputs!$B$11,"",IF($B52&lt;Inputs!$B$10,Inputs!$B$51,Inputs!$B$52))</f>
        <v>0.075</v>
      </c>
      <c r="H52" s="62" t="n">
        <f aca="false">IF($B52&gt;Inputs!$B$11,"",(D52-F52)*G52)</f>
        <v>14374525.6351444</v>
      </c>
      <c r="I52" s="62" t="n">
        <f aca="false">IF($B52&gt;Inputs!$B$11,"",D52-F52+H52+E52)</f>
        <v>206034867.43707</v>
      </c>
      <c r="J52" s="62" t="n">
        <f aca="false">IF($B52&gt;Inputs!$B$11,"",I52/(1+Inputs!$B$45)^A52)</f>
        <v>12567797.9454599</v>
      </c>
    </row>
    <row r="53" customFormat="false" ht="15" hidden="false" customHeight="false" outlineLevel="0" collapsed="false">
      <c r="A53" s="34" t="n">
        <v>49</v>
      </c>
      <c r="B53" s="56" t="n">
        <f aca="false">IF(Inputs!$B$9+48&gt;Inputs!$B$11,"",Inputs!$B$9+48)</f>
        <v>72</v>
      </c>
      <c r="C53" s="57" t="str">
        <f aca="false">IF($B53&gt;Inputs!$B$11,"",IF($B53&lt;Inputs!$B$10,"Accumulation","Retirement"))</f>
        <v>Retirement</v>
      </c>
      <c r="D53" s="35" t="n">
        <f aca="false">IF($B53&gt;Inputs!$B$11,"",I52)</f>
        <v>206034867.43707</v>
      </c>
      <c r="E53" s="35" t="n">
        <f aca="false">IF($B53&gt;Inputs!$B$11,"",IF($B53&gt;=Inputs!$B$10,0,Retirement!$B$49*12*(1+Inputs!$B$53)^(A53-1)))</f>
        <v>0</v>
      </c>
      <c r="F53" s="35" t="n">
        <f aca="false">IF($B53&gt;Inputs!$B$11,"",IF($B53&lt;Inputs!$B$10,0,Retirement!$B$23*(1+Inputs!$B$45)^($B53-Inputs!$B$10)))</f>
        <v>11065863.4172475</v>
      </c>
      <c r="G53" s="58" t="n">
        <f aca="false">IF($B53&gt;Inputs!$B$11,"",IF($B53&lt;Inputs!$B$10,Inputs!$B$51,Inputs!$B$52))</f>
        <v>0.075</v>
      </c>
      <c r="H53" s="35" t="n">
        <f aca="false">IF($B53&gt;Inputs!$B$11,"",(D53-F53)*G53)</f>
        <v>14622675.3014867</v>
      </c>
      <c r="I53" s="35" t="n">
        <f aca="false">IF($B53&gt;Inputs!$B$11,"",D53-F53+H53+E53)</f>
        <v>209591679.32131</v>
      </c>
      <c r="J53" s="35" t="n">
        <f aca="false">IF($B53&gt;Inputs!$B$11,"",I53/(1+Inputs!$B$45)^A53)</f>
        <v>12061092.2560089</v>
      </c>
    </row>
    <row r="54" customFormat="false" ht="15" hidden="false" customHeight="false" outlineLevel="0" collapsed="false">
      <c r="A54" s="59" t="n">
        <v>50</v>
      </c>
      <c r="B54" s="60" t="n">
        <f aca="false">IF(Inputs!$B$9+49&gt;Inputs!$B$11,"",Inputs!$B$9+49)</f>
        <v>73</v>
      </c>
      <c r="C54" s="61" t="str">
        <f aca="false">IF($B54&gt;Inputs!$B$11,"",IF($B54&lt;Inputs!$B$10,"Accumulation","Retirement"))</f>
        <v>Retirement</v>
      </c>
      <c r="D54" s="62" t="n">
        <f aca="false">IF($B54&gt;Inputs!$B$11,"",I53)</f>
        <v>209591679.32131</v>
      </c>
      <c r="E54" s="62" t="n">
        <f aca="false">IF($B54&gt;Inputs!$B$11,"",IF($B54&gt;=Inputs!$B$10,0,Retirement!$B$49*12*(1+Inputs!$B$53)^(A54-1)))</f>
        <v>0</v>
      </c>
      <c r="F54" s="62" t="n">
        <f aca="false">IF($B54&gt;Inputs!$B$11,"",IF($B54&lt;Inputs!$B$10,0,Retirement!$B$23*(1+Inputs!$B$45)^($B54-Inputs!$B$10)))</f>
        <v>11729815.2222823</v>
      </c>
      <c r="G54" s="63" t="n">
        <f aca="false">IF($B54&gt;Inputs!$B$11,"",IF($B54&lt;Inputs!$B$10,Inputs!$B$51,Inputs!$B$52))</f>
        <v>0.075</v>
      </c>
      <c r="H54" s="62" t="n">
        <f aca="false">IF($B54&gt;Inputs!$B$11,"",(D54-F54)*G54)</f>
        <v>14839639.807427</v>
      </c>
      <c r="I54" s="62" t="n">
        <f aca="false">IF($B54&gt;Inputs!$B$11,"",D54-F54+H54+E54)</f>
        <v>212701503.906454</v>
      </c>
      <c r="J54" s="62" t="n">
        <f aca="false">IF($B54&gt;Inputs!$B$11,"",I54/(1+Inputs!$B$45)^A54)</f>
        <v>11547216.2030278</v>
      </c>
    </row>
    <row r="55" customFormat="false" ht="15" hidden="false" customHeight="false" outlineLevel="0" collapsed="false">
      <c r="A55" s="34" t="n">
        <v>51</v>
      </c>
      <c r="B55" s="56" t="n">
        <f aca="false">IF(Inputs!$B$9+50&gt;Inputs!$B$11,"",Inputs!$B$9+50)</f>
        <v>74</v>
      </c>
      <c r="C55" s="57" t="str">
        <f aca="false">IF($B55&gt;Inputs!$B$11,"",IF($B55&lt;Inputs!$B$10,"Accumulation","Retirement"))</f>
        <v>Retirement</v>
      </c>
      <c r="D55" s="35" t="n">
        <f aca="false">IF($B55&gt;Inputs!$B$11,"",I54)</f>
        <v>212701503.906454</v>
      </c>
      <c r="E55" s="35" t="n">
        <f aca="false">IF($B55&gt;Inputs!$B$11,"",IF($B55&gt;=Inputs!$B$10,0,Retirement!$B$49*12*(1+Inputs!$B$53)^(A55-1)))</f>
        <v>0</v>
      </c>
      <c r="F55" s="35" t="n">
        <f aca="false">IF($B55&gt;Inputs!$B$11,"",IF($B55&lt;Inputs!$B$10,0,Retirement!$B$23*(1+Inputs!$B$45)^($B55-Inputs!$B$10)))</f>
        <v>12433604.1356193</v>
      </c>
      <c r="G55" s="58" t="n">
        <f aca="false">IF($B55&gt;Inputs!$B$11,"",IF($B55&lt;Inputs!$B$10,Inputs!$B$51,Inputs!$B$52))</f>
        <v>0.075</v>
      </c>
      <c r="H55" s="35" t="n">
        <f aca="false">IF($B55&gt;Inputs!$B$11,"",(D55-F55)*G55)</f>
        <v>15020092.4828126</v>
      </c>
      <c r="I55" s="35" t="n">
        <f aca="false">IF($B55&gt;Inputs!$B$11,"",D55-F55+H55+E55)</f>
        <v>215287992.253648</v>
      </c>
      <c r="J55" s="35" t="n">
        <f aca="false">IF($B55&gt;Inputs!$B$11,"",I55/(1+Inputs!$B$45)^A55)</f>
        <v>11026068.3191084</v>
      </c>
    </row>
    <row r="56" customFormat="false" ht="15" hidden="false" customHeight="false" outlineLevel="0" collapsed="false">
      <c r="A56" s="59" t="n">
        <v>52</v>
      </c>
      <c r="B56" s="60" t="n">
        <f aca="false">IF(Inputs!$B$9+51&gt;Inputs!$B$11,"",Inputs!$B$9+51)</f>
        <v>75</v>
      </c>
      <c r="C56" s="61" t="str">
        <f aca="false">IF($B56&gt;Inputs!$B$11,"",IF($B56&lt;Inputs!$B$10,"Accumulation","Retirement"))</f>
        <v>Retirement</v>
      </c>
      <c r="D56" s="62" t="n">
        <f aca="false">IF($B56&gt;Inputs!$B$11,"",I55)</f>
        <v>215287992.253648</v>
      </c>
      <c r="E56" s="62" t="n">
        <f aca="false">IF($B56&gt;Inputs!$B$11,"",IF($B56&gt;=Inputs!$B$10,0,Retirement!$B$49*12*(1+Inputs!$B$53)^(A56-1)))</f>
        <v>0</v>
      </c>
      <c r="F56" s="62" t="n">
        <f aca="false">IF($B56&gt;Inputs!$B$11,"",IF($B56&lt;Inputs!$B$10,0,Retirement!$B$23*(1+Inputs!$B$45)^($B56-Inputs!$B$10)))</f>
        <v>13179620.3837564</v>
      </c>
      <c r="G56" s="63" t="n">
        <f aca="false">IF($B56&gt;Inputs!$B$11,"",IF($B56&lt;Inputs!$B$10,Inputs!$B$51,Inputs!$B$52))</f>
        <v>0.075</v>
      </c>
      <c r="H56" s="62" t="n">
        <f aca="false">IF($B56&gt;Inputs!$B$11,"",(D56-F56)*G56)</f>
        <v>15158127.8902418</v>
      </c>
      <c r="I56" s="62" t="n">
        <f aca="false">IF($B56&gt;Inputs!$B$11,"",D56-F56+H56+E56)</f>
        <v>217266499.760133</v>
      </c>
      <c r="J56" s="62" t="n">
        <f aca="false">IF($B56&gt;Inputs!$B$11,"",I56/(1+Inputs!$B$45)^A56)</f>
        <v>10497545.7009826</v>
      </c>
    </row>
    <row r="57" customFormat="false" ht="15" hidden="false" customHeight="false" outlineLevel="0" collapsed="false">
      <c r="A57" s="34" t="n">
        <v>53</v>
      </c>
      <c r="B57" s="56" t="n">
        <f aca="false">IF(Inputs!$B$9+52&gt;Inputs!$B$11,"",Inputs!$B$9+52)</f>
        <v>76</v>
      </c>
      <c r="C57" s="57" t="str">
        <f aca="false">IF($B57&gt;Inputs!$B$11,"",IF($B57&lt;Inputs!$B$10,"Accumulation","Retirement"))</f>
        <v>Retirement</v>
      </c>
      <c r="D57" s="35" t="n">
        <f aca="false">IF($B57&gt;Inputs!$B$11,"",I56)</f>
        <v>217266499.760133</v>
      </c>
      <c r="E57" s="35" t="n">
        <f aca="false">IF($B57&gt;Inputs!$B$11,"",IF($B57&gt;=Inputs!$B$10,0,Retirement!$B$49*12*(1+Inputs!$B$53)^(A57-1)))</f>
        <v>0</v>
      </c>
      <c r="F57" s="35" t="n">
        <f aca="false">IF($B57&gt;Inputs!$B$11,"",IF($B57&lt;Inputs!$B$10,0,Retirement!$B$23*(1+Inputs!$B$45)^($B57-Inputs!$B$10)))</f>
        <v>13970397.6067818</v>
      </c>
      <c r="G57" s="58" t="n">
        <f aca="false">IF($B57&gt;Inputs!$B$11,"",IF($B57&lt;Inputs!$B$10,Inputs!$B$51,Inputs!$B$52))</f>
        <v>0.075</v>
      </c>
      <c r="H57" s="35" t="n">
        <f aca="false">IF($B57&gt;Inputs!$B$11,"",(D57-F57)*G57)</f>
        <v>15247207.6615014</v>
      </c>
      <c r="I57" s="35" t="n">
        <f aca="false">IF($B57&gt;Inputs!$B$11,"",D57-F57+H57+E57)</f>
        <v>218543309.814853</v>
      </c>
      <c r="J57" s="35" t="n">
        <f aca="false">IF($B57&gt;Inputs!$B$11,"",I57/(1+Inputs!$B$45)^A57)</f>
        <v>9961543.98920406</v>
      </c>
    </row>
    <row r="58" customFormat="false" ht="15" hidden="false" customHeight="false" outlineLevel="0" collapsed="false">
      <c r="A58" s="59" t="n">
        <v>54</v>
      </c>
      <c r="B58" s="60" t="n">
        <f aca="false">IF(Inputs!$B$9+53&gt;Inputs!$B$11,"",Inputs!$B$9+53)</f>
        <v>77</v>
      </c>
      <c r="C58" s="61" t="str">
        <f aca="false">IF($B58&gt;Inputs!$B$11,"",IF($B58&lt;Inputs!$B$10,"Accumulation","Retirement"))</f>
        <v>Retirement</v>
      </c>
      <c r="D58" s="62" t="n">
        <f aca="false">IF($B58&gt;Inputs!$B$11,"",I57)</f>
        <v>218543309.814853</v>
      </c>
      <c r="E58" s="62" t="n">
        <f aca="false">IF($B58&gt;Inputs!$B$11,"",IF($B58&gt;=Inputs!$B$10,0,Retirement!$B$49*12*(1+Inputs!$B$53)^(A58-1)))</f>
        <v>0</v>
      </c>
      <c r="F58" s="62" t="n">
        <f aca="false">IF($B58&gt;Inputs!$B$11,"",IF($B58&lt;Inputs!$B$10,0,Retirement!$B$23*(1+Inputs!$B$45)^($B58-Inputs!$B$10)))</f>
        <v>14808621.4631887</v>
      </c>
      <c r="G58" s="63" t="n">
        <f aca="false">IF($B58&gt;Inputs!$B$11,"",IF($B58&lt;Inputs!$B$10,Inputs!$B$51,Inputs!$B$52))</f>
        <v>0.075</v>
      </c>
      <c r="H58" s="62" t="n">
        <f aca="false">IF($B58&gt;Inputs!$B$11,"",(D58-F58)*G58)</f>
        <v>15280101.6263748</v>
      </c>
      <c r="I58" s="62" t="n">
        <f aca="false">IF($B58&gt;Inputs!$B$11,"",D58-F58+H58+E58)</f>
        <v>219014789.978039</v>
      </c>
      <c r="J58" s="62" t="n">
        <f aca="false">IF($B58&gt;Inputs!$B$11,"",I58/(1+Inputs!$B$45)^A58)</f>
        <v>9417957.34754185</v>
      </c>
    </row>
    <row r="59" customFormat="false" ht="15" hidden="false" customHeight="false" outlineLevel="0" collapsed="false">
      <c r="A59" s="34" t="n">
        <v>55</v>
      </c>
      <c r="B59" s="56" t="n">
        <f aca="false">IF(Inputs!$B$9+54&gt;Inputs!$B$11,"",Inputs!$B$9+54)</f>
        <v>78</v>
      </c>
      <c r="C59" s="57" t="str">
        <f aca="false">IF($B59&gt;Inputs!$B$11,"",IF($B59&lt;Inputs!$B$10,"Accumulation","Retirement"))</f>
        <v>Retirement</v>
      </c>
      <c r="D59" s="35" t="n">
        <f aca="false">IF($B59&gt;Inputs!$B$11,"",I58)</f>
        <v>219014789.978039</v>
      </c>
      <c r="E59" s="35" t="n">
        <f aca="false">IF($B59&gt;Inputs!$B$11,"",IF($B59&gt;=Inputs!$B$10,0,Retirement!$B$49*12*(1+Inputs!$B$53)^(A59-1)))</f>
        <v>0</v>
      </c>
      <c r="F59" s="35" t="n">
        <f aca="false">IF($B59&gt;Inputs!$B$11,"",IF($B59&lt;Inputs!$B$10,0,Retirement!$B$23*(1+Inputs!$B$45)^($B59-Inputs!$B$10)))</f>
        <v>15697138.75098</v>
      </c>
      <c r="G59" s="58" t="n">
        <f aca="false">IF($B59&gt;Inputs!$B$11,"",IF($B59&lt;Inputs!$B$10,Inputs!$B$51,Inputs!$B$52))</f>
        <v>0.075</v>
      </c>
      <c r="H59" s="35" t="n">
        <f aca="false">IF($B59&gt;Inputs!$B$11,"",(D59-F59)*G59)</f>
        <v>15248823.8420294</v>
      </c>
      <c r="I59" s="35" t="n">
        <f aca="false">IF($B59&gt;Inputs!$B$11,"",D59-F59+H59+E59)</f>
        <v>218566475.069088</v>
      </c>
      <c r="J59" s="35" t="n">
        <f aca="false">IF($B59&gt;Inputs!$B$11,"",I59/(1+Inputs!$B$45)^A59)</f>
        <v>8866678.44208253</v>
      </c>
    </row>
    <row r="60" customFormat="false" ht="15" hidden="false" customHeight="false" outlineLevel="0" collapsed="false">
      <c r="A60" s="59" t="n">
        <v>56</v>
      </c>
      <c r="B60" s="60" t="n">
        <f aca="false">IF(Inputs!$B$9+55&gt;Inputs!$B$11,"",Inputs!$B$9+55)</f>
        <v>79</v>
      </c>
      <c r="C60" s="61" t="str">
        <f aca="false">IF($B60&gt;Inputs!$B$11,"",IF($B60&lt;Inputs!$B$10,"Accumulation","Retirement"))</f>
        <v>Retirement</v>
      </c>
      <c r="D60" s="62" t="n">
        <f aca="false">IF($B60&gt;Inputs!$B$11,"",I59)</f>
        <v>218566475.069088</v>
      </c>
      <c r="E60" s="62" t="n">
        <f aca="false">IF($B60&gt;Inputs!$B$11,"",IF($B60&gt;=Inputs!$B$10,0,Retirement!$B$49*12*(1+Inputs!$B$53)^(A60-1)))</f>
        <v>0</v>
      </c>
      <c r="F60" s="62" t="n">
        <f aca="false">IF($B60&gt;Inputs!$B$11,"",IF($B60&lt;Inputs!$B$10,0,Retirement!$B$23*(1+Inputs!$B$45)^($B60-Inputs!$B$10)))</f>
        <v>16638967.0760388</v>
      </c>
      <c r="G60" s="63" t="n">
        <f aca="false">IF($B60&gt;Inputs!$B$11,"",IF($B60&lt;Inputs!$B$10,Inputs!$B$51,Inputs!$B$52))</f>
        <v>0.075</v>
      </c>
      <c r="H60" s="62" t="n">
        <f aca="false">IF($B60&gt;Inputs!$B$11,"",(D60-F60)*G60)</f>
        <v>15144563.0994787</v>
      </c>
      <c r="I60" s="62" t="n">
        <f aca="false">IF($B60&gt;Inputs!$B$11,"",D60-F60+H60+E60)</f>
        <v>217072071.092528</v>
      </c>
      <c r="J60" s="62" t="n">
        <f aca="false">IF($B60&gt;Inputs!$B$11,"",I60/(1+Inputs!$B$45)^A60)</f>
        <v>8307598.42003653</v>
      </c>
    </row>
    <row r="61" customFormat="false" ht="15" hidden="false" customHeight="false" outlineLevel="0" collapsed="false">
      <c r="A61" s="34" t="n">
        <v>57</v>
      </c>
      <c r="B61" s="56" t="n">
        <f aca="false">IF(Inputs!$B$9+56&gt;Inputs!$B$11,"",Inputs!$B$9+56)</f>
        <v>80</v>
      </c>
      <c r="C61" s="57" t="str">
        <f aca="false">IF($B61&gt;Inputs!$B$11,"",IF($B61&lt;Inputs!$B$10,"Accumulation","Retirement"))</f>
        <v>Retirement</v>
      </c>
      <c r="D61" s="35" t="n">
        <f aca="false">IF($B61&gt;Inputs!$B$11,"",I60)</f>
        <v>217072071.092528</v>
      </c>
      <c r="E61" s="35" t="n">
        <f aca="false">IF($B61&gt;Inputs!$B$11,"",IF($B61&gt;=Inputs!$B$10,0,Retirement!$B$49*12*(1+Inputs!$B$53)^(A61-1)))</f>
        <v>0</v>
      </c>
      <c r="F61" s="35" t="n">
        <f aca="false">IF($B61&gt;Inputs!$B$11,"",IF($B61&lt;Inputs!$B$10,0,Retirement!$B$23*(1+Inputs!$B$45)^($B61-Inputs!$B$10)))</f>
        <v>17637305.1006012</v>
      </c>
      <c r="G61" s="58" t="n">
        <f aca="false">IF($B61&gt;Inputs!$B$11,"",IF($B61&lt;Inputs!$B$10,Inputs!$B$51,Inputs!$B$52))</f>
        <v>0.075</v>
      </c>
      <c r="H61" s="35" t="n">
        <f aca="false">IF($B61&gt;Inputs!$B$11,"",(D61-F61)*G61)</f>
        <v>14957607.4493945</v>
      </c>
      <c r="I61" s="35" t="n">
        <f aca="false">IF($B61&gt;Inputs!$B$11,"",D61-F61+H61+E61)</f>
        <v>214392373.441321</v>
      </c>
      <c r="J61" s="35" t="n">
        <f aca="false">IF($B61&gt;Inputs!$B$11,"",I61/(1+Inputs!$B$45)^A61)</f>
        <v>7740606.8882446</v>
      </c>
    </row>
    <row r="62" customFormat="false" ht="15" hidden="false" customHeight="false" outlineLevel="0" collapsed="false">
      <c r="A62" s="59" t="n">
        <v>58</v>
      </c>
      <c r="B62" s="60" t="n">
        <f aca="false">IF(Inputs!$B$9+57&gt;Inputs!$B$11,"",Inputs!$B$9+57)</f>
        <v>81</v>
      </c>
      <c r="C62" s="61" t="str">
        <f aca="false">IF($B62&gt;Inputs!$B$11,"",IF($B62&lt;Inputs!$B$10,"Accumulation","Retirement"))</f>
        <v>Retirement</v>
      </c>
      <c r="D62" s="62" t="n">
        <f aca="false">IF($B62&gt;Inputs!$B$11,"",I61)</f>
        <v>214392373.441321</v>
      </c>
      <c r="E62" s="62" t="n">
        <f aca="false">IF($B62&gt;Inputs!$B$11,"",IF($B62&gt;=Inputs!$B$10,0,Retirement!$B$49*12*(1+Inputs!$B$53)^(A62-1)))</f>
        <v>0</v>
      </c>
      <c r="F62" s="62" t="n">
        <f aca="false">IF($B62&gt;Inputs!$B$11,"",IF($B62&lt;Inputs!$B$10,0,Retirement!$B$23*(1+Inputs!$B$45)^($B62-Inputs!$B$10)))</f>
        <v>18695543.4066372</v>
      </c>
      <c r="G62" s="63" t="n">
        <f aca="false">IF($B62&gt;Inputs!$B$11,"",IF($B62&lt;Inputs!$B$10,Inputs!$B$51,Inputs!$B$52))</f>
        <v>0.075</v>
      </c>
      <c r="H62" s="62" t="n">
        <f aca="false">IF($B62&gt;Inputs!$B$11,"",(D62-F62)*G62)</f>
        <v>14677262.2526013</v>
      </c>
      <c r="I62" s="62" t="n">
        <f aca="false">IF($B62&gt;Inputs!$B$11,"",D62-F62+H62+E62)</f>
        <v>210374092.287286</v>
      </c>
      <c r="J62" s="62" t="n">
        <f aca="false">IF($B62&gt;Inputs!$B$11,"",I62/(1+Inputs!$B$45)^A62)</f>
        <v>7165591.89138013</v>
      </c>
    </row>
    <row r="63" customFormat="false" ht="15" hidden="false" customHeight="false" outlineLevel="0" collapsed="false">
      <c r="A63" s="34" t="n">
        <v>59</v>
      </c>
      <c r="B63" s="56" t="n">
        <f aca="false">IF(Inputs!$B$9+58&gt;Inputs!$B$11,"",Inputs!$B$9+58)</f>
        <v>82</v>
      </c>
      <c r="C63" s="57" t="str">
        <f aca="false">IF($B63&gt;Inputs!$B$11,"",IF($B63&lt;Inputs!$B$10,"Accumulation","Retirement"))</f>
        <v>Retirement</v>
      </c>
      <c r="D63" s="35" t="n">
        <f aca="false">IF($B63&gt;Inputs!$B$11,"",I62)</f>
        <v>210374092.287286</v>
      </c>
      <c r="E63" s="35" t="n">
        <f aca="false">IF($B63&gt;Inputs!$B$11,"",IF($B63&gt;=Inputs!$B$10,0,Retirement!$B$49*12*(1+Inputs!$B$53)^(A63-1)))</f>
        <v>0</v>
      </c>
      <c r="F63" s="35" t="n">
        <f aca="false">IF($B63&gt;Inputs!$B$11,"",IF($B63&lt;Inputs!$B$10,0,Retirement!$B$23*(1+Inputs!$B$45)^($B63-Inputs!$B$10)))</f>
        <v>19817276.0110355</v>
      </c>
      <c r="G63" s="58" t="n">
        <f aca="false">IF($B63&gt;Inputs!$B$11,"",IF($B63&lt;Inputs!$B$10,Inputs!$B$51,Inputs!$B$52))</f>
        <v>0.075</v>
      </c>
      <c r="H63" s="35" t="n">
        <f aca="false">IF($B63&gt;Inputs!$B$11,"",(D63-F63)*G63)</f>
        <v>14291761.2207188</v>
      </c>
      <c r="I63" s="35" t="n">
        <f aca="false">IF($B63&gt;Inputs!$B$11,"",D63-F63+H63+E63)</f>
        <v>204848577.496969</v>
      </c>
      <c r="J63" s="35" t="n">
        <f aca="false">IF($B63&gt;Inputs!$B$11,"",I63/(1+Inputs!$B$45)^A63)</f>
        <v>6582439.88984306</v>
      </c>
    </row>
    <row r="64" customFormat="false" ht="15" hidden="false" customHeight="false" outlineLevel="0" collapsed="false">
      <c r="A64" s="59" t="n">
        <v>60</v>
      </c>
      <c r="B64" s="60" t="n">
        <f aca="false">IF(Inputs!$B$9+59&gt;Inputs!$B$11,"",Inputs!$B$9+59)</f>
        <v>83</v>
      </c>
      <c r="C64" s="61" t="str">
        <f aca="false">IF($B64&gt;Inputs!$B$11,"",IF($B64&lt;Inputs!$B$10,"Accumulation","Retirement"))</f>
        <v>Retirement</v>
      </c>
      <c r="D64" s="62" t="n">
        <f aca="false">IF($B64&gt;Inputs!$B$11,"",I63)</f>
        <v>204848577.496969</v>
      </c>
      <c r="E64" s="62" t="n">
        <f aca="false">IF($B64&gt;Inputs!$B$11,"",IF($B64&gt;=Inputs!$B$10,0,Retirement!$B$49*12*(1+Inputs!$B$53)^(A64-1)))</f>
        <v>0</v>
      </c>
      <c r="F64" s="62" t="n">
        <f aca="false">IF($B64&gt;Inputs!$B$11,"",IF($B64&lt;Inputs!$B$10,0,Retirement!$B$23*(1+Inputs!$B$45)^($B64-Inputs!$B$10)))</f>
        <v>21006312.5716976</v>
      </c>
      <c r="G64" s="63" t="n">
        <f aca="false">IF($B64&gt;Inputs!$B$11,"",IF($B64&lt;Inputs!$B$10,Inputs!$B$51,Inputs!$B$52))</f>
        <v>0.075</v>
      </c>
      <c r="H64" s="62" t="n">
        <f aca="false">IF($B64&gt;Inputs!$B$11,"",(D64-F64)*G64)</f>
        <v>13788169.8693953</v>
      </c>
      <c r="I64" s="62" t="n">
        <f aca="false">IF($B64&gt;Inputs!$B$11,"",D64-F64+H64+E64)</f>
        <v>197630434.794667</v>
      </c>
      <c r="J64" s="62" t="n">
        <f aca="false">IF($B64&gt;Inputs!$B$11,"",I64/(1+Inputs!$B$45)^A64)</f>
        <v>5991035.73734084</v>
      </c>
    </row>
    <row r="65" customFormat="false" ht="15" hidden="false" customHeight="false" outlineLevel="0" collapsed="false">
      <c r="A65" s="34" t="n">
        <v>61</v>
      </c>
      <c r="B65" s="56" t="n">
        <f aca="false">IF(Inputs!$B$9+60&gt;Inputs!$B$11,"",Inputs!$B$9+60)</f>
        <v>84</v>
      </c>
      <c r="C65" s="57" t="str">
        <f aca="false">IF($B65&gt;Inputs!$B$11,"",IF($B65&lt;Inputs!$B$10,"Accumulation","Retirement"))</f>
        <v>Retirement</v>
      </c>
      <c r="D65" s="35" t="n">
        <f aca="false">IF($B65&gt;Inputs!$B$11,"",I64)</f>
        <v>197630434.794667</v>
      </c>
      <c r="E65" s="35" t="n">
        <f aca="false">IF($B65&gt;Inputs!$B$11,"",IF($B65&gt;=Inputs!$B$10,0,Retirement!$B$49*12*(1+Inputs!$B$53)^(A65-1)))</f>
        <v>0</v>
      </c>
      <c r="F65" s="35" t="n">
        <f aca="false">IF($B65&gt;Inputs!$B$11,"",IF($B65&lt;Inputs!$B$10,0,Retirement!$B$23*(1+Inputs!$B$45)^($B65-Inputs!$B$10)))</f>
        <v>22266691.3259995</v>
      </c>
      <c r="G65" s="58" t="n">
        <f aca="false">IF($B65&gt;Inputs!$B$11,"",IF($B65&lt;Inputs!$B$10,Inputs!$B$51,Inputs!$B$52))</f>
        <v>0.075</v>
      </c>
      <c r="H65" s="35" t="n">
        <f aca="false">IF($B65&gt;Inputs!$B$11,"",(D65-F65)*G65)</f>
        <v>13152280.76015</v>
      </c>
      <c r="I65" s="35" t="n">
        <f aca="false">IF($B65&gt;Inputs!$B$11,"",D65-F65+H65+E65)</f>
        <v>188516024.228817</v>
      </c>
      <c r="J65" s="35" t="n">
        <f aca="false">IF($B65&gt;Inputs!$B$11,"",I65/(1+Inputs!$B$45)^A65)</f>
        <v>5391262.65815226</v>
      </c>
    </row>
    <row r="66" customFormat="false" ht="15" hidden="false" customHeight="false" outlineLevel="0" collapsed="false">
      <c r="A66" s="59" t="n">
        <v>62</v>
      </c>
      <c r="B66" s="60" t="n">
        <f aca="false">IF(Inputs!$B$9+61&gt;Inputs!$B$11,"",Inputs!$B$9+61)</f>
        <v>85</v>
      </c>
      <c r="C66" s="61" t="str">
        <f aca="false">IF($B66&gt;Inputs!$B$11,"",IF($B66&lt;Inputs!$B$10,"Accumulation","Retirement"))</f>
        <v>Retirement</v>
      </c>
      <c r="D66" s="62" t="n">
        <f aca="false">IF($B66&gt;Inputs!$B$11,"",I65)</f>
        <v>188516024.228817</v>
      </c>
      <c r="E66" s="62" t="n">
        <f aca="false">IF($B66&gt;Inputs!$B$11,"",IF($B66&gt;=Inputs!$B$10,0,Retirement!$B$49*12*(1+Inputs!$B$53)^(A66-1)))</f>
        <v>0</v>
      </c>
      <c r="F66" s="62" t="n">
        <f aca="false">IF($B66&gt;Inputs!$B$11,"",IF($B66&lt;Inputs!$B$10,0,Retirement!$B$23*(1+Inputs!$B$45)^($B66-Inputs!$B$10)))</f>
        <v>23602692.8055594</v>
      </c>
      <c r="G66" s="63" t="n">
        <f aca="false">IF($B66&gt;Inputs!$B$11,"",IF($B66&lt;Inputs!$B$10,Inputs!$B$51,Inputs!$B$52))</f>
        <v>0.075</v>
      </c>
      <c r="H66" s="62" t="n">
        <f aca="false">IF($B66&gt;Inputs!$B$11,"",(D66-F66)*G66)</f>
        <v>12368499.8567443</v>
      </c>
      <c r="I66" s="62" t="n">
        <f aca="false">IF($B66&gt;Inputs!$B$11,"",D66-F66+H66+E66)</f>
        <v>177281831.280002</v>
      </c>
      <c r="J66" s="62" t="n">
        <f aca="false">IF($B66&gt;Inputs!$B$11,"",I66/(1+Inputs!$B$45)^A66)</f>
        <v>4783002.22406951</v>
      </c>
    </row>
    <row r="67" customFormat="false" ht="15" hidden="false" customHeight="false" outlineLevel="0" collapsed="false">
      <c r="A67" s="34" t="n">
        <v>63</v>
      </c>
      <c r="B67" s="56" t="str">
        <f aca="false">IF(Inputs!$B$9+62&gt;Inputs!$B$11,"",Inputs!$B$9+62)</f>
        <v/>
      </c>
      <c r="C67" s="57" t="str">
        <f aca="false">IF($B67&gt;Inputs!$B$11,"",IF($B67&lt;Inputs!$B$10,"Accumulation","Retirement"))</f>
        <v/>
      </c>
      <c r="D67" s="35" t="str">
        <f aca="false">IF($B67&gt;Inputs!$B$11,"",I66)</f>
        <v/>
      </c>
      <c r="E67" s="35" t="str">
        <f aca="false">IF($B67&gt;Inputs!$B$11,"",IF($B67&gt;=Inputs!$B$10,0,Retirement!$B$49*12*(1+Inputs!$B$53)^(A67-1)))</f>
        <v/>
      </c>
      <c r="F67" s="35" t="str">
        <f aca="false">IF($B67&gt;Inputs!$B$11,"",IF($B67&lt;Inputs!$B$10,0,Retirement!$B$23*(1+Inputs!$B$45)^($B67-Inputs!$B$10)))</f>
        <v/>
      </c>
      <c r="G67" s="58" t="str">
        <f aca="false">IF($B67&gt;Inputs!$B$11,"",IF($B67&lt;Inputs!$B$10,Inputs!$B$51,Inputs!$B$52))</f>
        <v/>
      </c>
      <c r="H67" s="35" t="str">
        <f aca="false">IF($B67&gt;Inputs!$B$11,"",(D67-F67)*G67)</f>
        <v/>
      </c>
      <c r="I67" s="35" t="str">
        <f aca="false">IF($B67&gt;Inputs!$B$11,"",D67-F67+H67+E67)</f>
        <v/>
      </c>
      <c r="J67" s="35" t="str">
        <f aca="false">IF($B67&gt;Inputs!$B$11,"",I67/(1+Inputs!$B$45)^A67)</f>
        <v/>
      </c>
    </row>
    <row r="68" customFormat="false" ht="15" hidden="false" customHeight="false" outlineLevel="0" collapsed="false">
      <c r="A68" s="59" t="n">
        <v>64</v>
      </c>
      <c r="B68" s="60" t="str">
        <f aca="false">IF(Inputs!$B$9+63&gt;Inputs!$B$11,"",Inputs!$B$9+63)</f>
        <v/>
      </c>
      <c r="C68" s="61" t="str">
        <f aca="false">IF($B68&gt;Inputs!$B$11,"",IF($B68&lt;Inputs!$B$10,"Accumulation","Retirement"))</f>
        <v/>
      </c>
      <c r="D68" s="62" t="str">
        <f aca="false">IF($B68&gt;Inputs!$B$11,"",I67)</f>
        <v/>
      </c>
      <c r="E68" s="62" t="str">
        <f aca="false">IF($B68&gt;Inputs!$B$11,"",IF($B68&gt;=Inputs!$B$10,0,Retirement!$B$49*12*(1+Inputs!$B$53)^(A68-1)))</f>
        <v/>
      </c>
      <c r="F68" s="62" t="str">
        <f aca="false">IF($B68&gt;Inputs!$B$11,"",IF($B68&lt;Inputs!$B$10,0,Retirement!$B$23*(1+Inputs!$B$45)^($B68-Inputs!$B$10)))</f>
        <v/>
      </c>
      <c r="G68" s="63" t="str">
        <f aca="false">IF($B68&gt;Inputs!$B$11,"",IF($B68&lt;Inputs!$B$10,Inputs!$B$51,Inputs!$B$52))</f>
        <v/>
      </c>
      <c r="H68" s="62" t="str">
        <f aca="false">IF($B68&gt;Inputs!$B$11,"",(D68-F68)*G68)</f>
        <v/>
      </c>
      <c r="I68" s="62" t="str">
        <f aca="false">IF($B68&gt;Inputs!$B$11,"",D68-F68+H68+E68)</f>
        <v/>
      </c>
      <c r="J68" s="62" t="str">
        <f aca="false">IF($B68&gt;Inputs!$B$11,"",I68/(1+Inputs!$B$45)^A68)</f>
        <v/>
      </c>
    </row>
    <row r="69" customFormat="false" ht="15" hidden="false" customHeight="false" outlineLevel="0" collapsed="false">
      <c r="A69" s="34" t="n">
        <v>65</v>
      </c>
      <c r="B69" s="56" t="str">
        <f aca="false">IF(Inputs!$B$9+64&gt;Inputs!$B$11,"",Inputs!$B$9+64)</f>
        <v/>
      </c>
      <c r="C69" s="57" t="str">
        <f aca="false">IF($B69&gt;Inputs!$B$11,"",IF($B69&lt;Inputs!$B$10,"Accumulation","Retirement"))</f>
        <v/>
      </c>
      <c r="D69" s="35" t="str">
        <f aca="false">IF($B69&gt;Inputs!$B$11,"",I68)</f>
        <v/>
      </c>
      <c r="E69" s="35" t="str">
        <f aca="false">IF($B69&gt;Inputs!$B$11,"",IF($B69&gt;=Inputs!$B$10,0,Retirement!$B$49*12*(1+Inputs!$B$53)^(A69-1)))</f>
        <v/>
      </c>
      <c r="F69" s="35" t="str">
        <f aca="false">IF($B69&gt;Inputs!$B$11,"",IF($B69&lt;Inputs!$B$10,0,Retirement!$B$23*(1+Inputs!$B$45)^($B69-Inputs!$B$10)))</f>
        <v/>
      </c>
      <c r="G69" s="58" t="str">
        <f aca="false">IF($B69&gt;Inputs!$B$11,"",IF($B69&lt;Inputs!$B$10,Inputs!$B$51,Inputs!$B$52))</f>
        <v/>
      </c>
      <c r="H69" s="35" t="str">
        <f aca="false">IF($B69&gt;Inputs!$B$11,"",(D69-F69)*G69)</f>
        <v/>
      </c>
      <c r="I69" s="35" t="str">
        <f aca="false">IF($B69&gt;Inputs!$B$11,"",D69-F69+H69+E69)</f>
        <v/>
      </c>
      <c r="J69" s="35" t="str">
        <f aca="false">IF($B69&gt;Inputs!$B$11,"",I69/(1+Inputs!$B$45)^A69)</f>
        <v/>
      </c>
    </row>
    <row r="70" customFormat="false" ht="15" hidden="false" customHeight="false" outlineLevel="0" collapsed="false">
      <c r="A70" s="59" t="n">
        <v>66</v>
      </c>
      <c r="B70" s="60" t="str">
        <f aca="false">IF(Inputs!$B$9+65&gt;Inputs!$B$11,"",Inputs!$B$9+65)</f>
        <v/>
      </c>
      <c r="C70" s="61" t="str">
        <f aca="false">IF($B70&gt;Inputs!$B$11,"",IF($B70&lt;Inputs!$B$10,"Accumulation","Retirement"))</f>
        <v/>
      </c>
      <c r="D70" s="62" t="str">
        <f aca="false">IF($B70&gt;Inputs!$B$11,"",I69)</f>
        <v/>
      </c>
      <c r="E70" s="62" t="str">
        <f aca="false">IF($B70&gt;Inputs!$B$11,"",IF($B70&gt;=Inputs!$B$10,0,Retirement!$B$49*12*(1+Inputs!$B$53)^(A70-1)))</f>
        <v/>
      </c>
      <c r="F70" s="62" t="str">
        <f aca="false">IF($B70&gt;Inputs!$B$11,"",IF($B70&lt;Inputs!$B$10,0,Retirement!$B$23*(1+Inputs!$B$45)^($B70-Inputs!$B$10)))</f>
        <v/>
      </c>
      <c r="G70" s="63" t="str">
        <f aca="false">IF($B70&gt;Inputs!$B$11,"",IF($B70&lt;Inputs!$B$10,Inputs!$B$51,Inputs!$B$52))</f>
        <v/>
      </c>
      <c r="H70" s="62" t="str">
        <f aca="false">IF($B70&gt;Inputs!$B$11,"",(D70-F70)*G70)</f>
        <v/>
      </c>
      <c r="I70" s="62" t="str">
        <f aca="false">IF($B70&gt;Inputs!$B$11,"",D70-F70+H70+E70)</f>
        <v/>
      </c>
      <c r="J70" s="62" t="str">
        <f aca="false">IF($B70&gt;Inputs!$B$11,"",I70/(1+Inputs!$B$45)^A70)</f>
        <v/>
      </c>
    </row>
    <row r="71" customFormat="false" ht="15" hidden="false" customHeight="false" outlineLevel="0" collapsed="false">
      <c r="A71" s="34" t="n">
        <v>67</v>
      </c>
      <c r="B71" s="56" t="str">
        <f aca="false">IF(Inputs!$B$9+66&gt;Inputs!$B$11,"",Inputs!$B$9+66)</f>
        <v/>
      </c>
      <c r="C71" s="57" t="str">
        <f aca="false">IF($B71&gt;Inputs!$B$11,"",IF($B71&lt;Inputs!$B$10,"Accumulation","Retirement"))</f>
        <v/>
      </c>
      <c r="D71" s="35" t="str">
        <f aca="false">IF($B71&gt;Inputs!$B$11,"",I70)</f>
        <v/>
      </c>
      <c r="E71" s="35" t="str">
        <f aca="false">IF($B71&gt;Inputs!$B$11,"",IF($B71&gt;=Inputs!$B$10,0,Retirement!$B$49*12*(1+Inputs!$B$53)^(A71-1)))</f>
        <v/>
      </c>
      <c r="F71" s="35" t="str">
        <f aca="false">IF($B71&gt;Inputs!$B$11,"",IF($B71&lt;Inputs!$B$10,0,Retirement!$B$23*(1+Inputs!$B$45)^($B71-Inputs!$B$10)))</f>
        <v/>
      </c>
      <c r="G71" s="58" t="str">
        <f aca="false">IF($B71&gt;Inputs!$B$11,"",IF($B71&lt;Inputs!$B$10,Inputs!$B$51,Inputs!$B$52))</f>
        <v/>
      </c>
      <c r="H71" s="35" t="str">
        <f aca="false">IF($B71&gt;Inputs!$B$11,"",(D71-F71)*G71)</f>
        <v/>
      </c>
      <c r="I71" s="35" t="str">
        <f aca="false">IF($B71&gt;Inputs!$B$11,"",D71-F71+H71+E71)</f>
        <v/>
      </c>
      <c r="J71" s="35" t="str">
        <f aca="false">IF($B71&gt;Inputs!$B$11,"",I71/(1+Inputs!$B$45)^A71)</f>
        <v/>
      </c>
    </row>
    <row r="72" customFormat="false" ht="15" hidden="false" customHeight="false" outlineLevel="0" collapsed="false">
      <c r="A72" s="59" t="n">
        <v>68</v>
      </c>
      <c r="B72" s="60" t="str">
        <f aca="false">IF(Inputs!$B$9+67&gt;Inputs!$B$11,"",Inputs!$B$9+67)</f>
        <v/>
      </c>
      <c r="C72" s="61" t="str">
        <f aca="false">IF($B72&gt;Inputs!$B$11,"",IF($B72&lt;Inputs!$B$10,"Accumulation","Retirement"))</f>
        <v/>
      </c>
      <c r="D72" s="62" t="str">
        <f aca="false">IF($B72&gt;Inputs!$B$11,"",I71)</f>
        <v/>
      </c>
      <c r="E72" s="62" t="str">
        <f aca="false">IF($B72&gt;Inputs!$B$11,"",IF($B72&gt;=Inputs!$B$10,0,Retirement!$B$49*12*(1+Inputs!$B$53)^(A72-1)))</f>
        <v/>
      </c>
      <c r="F72" s="62" t="str">
        <f aca="false">IF($B72&gt;Inputs!$B$11,"",IF($B72&lt;Inputs!$B$10,0,Retirement!$B$23*(1+Inputs!$B$45)^($B72-Inputs!$B$10)))</f>
        <v/>
      </c>
      <c r="G72" s="63" t="str">
        <f aca="false">IF($B72&gt;Inputs!$B$11,"",IF($B72&lt;Inputs!$B$10,Inputs!$B$51,Inputs!$B$52))</f>
        <v/>
      </c>
      <c r="H72" s="62" t="str">
        <f aca="false">IF($B72&gt;Inputs!$B$11,"",(D72-F72)*G72)</f>
        <v/>
      </c>
      <c r="I72" s="62" t="str">
        <f aca="false">IF($B72&gt;Inputs!$B$11,"",D72-F72+H72+E72)</f>
        <v/>
      </c>
      <c r="J72" s="62" t="str">
        <f aca="false">IF($B72&gt;Inputs!$B$11,"",I72/(1+Inputs!$B$45)^A72)</f>
        <v/>
      </c>
    </row>
    <row r="73" customFormat="false" ht="15" hidden="false" customHeight="false" outlineLevel="0" collapsed="false">
      <c r="A73" s="34" t="n">
        <v>69</v>
      </c>
      <c r="B73" s="56" t="str">
        <f aca="false">IF(Inputs!$B$9+68&gt;Inputs!$B$11,"",Inputs!$B$9+68)</f>
        <v/>
      </c>
      <c r="C73" s="57" t="str">
        <f aca="false">IF($B73&gt;Inputs!$B$11,"",IF($B73&lt;Inputs!$B$10,"Accumulation","Retirement"))</f>
        <v/>
      </c>
      <c r="D73" s="35" t="str">
        <f aca="false">IF($B73&gt;Inputs!$B$11,"",I72)</f>
        <v/>
      </c>
      <c r="E73" s="35" t="str">
        <f aca="false">IF($B73&gt;Inputs!$B$11,"",IF($B73&gt;=Inputs!$B$10,0,Retirement!$B$49*12*(1+Inputs!$B$53)^(A73-1)))</f>
        <v/>
      </c>
      <c r="F73" s="35" t="str">
        <f aca="false">IF($B73&gt;Inputs!$B$11,"",IF($B73&lt;Inputs!$B$10,0,Retirement!$B$23*(1+Inputs!$B$45)^($B73-Inputs!$B$10)))</f>
        <v/>
      </c>
      <c r="G73" s="58" t="str">
        <f aca="false">IF($B73&gt;Inputs!$B$11,"",IF($B73&lt;Inputs!$B$10,Inputs!$B$51,Inputs!$B$52))</f>
        <v/>
      </c>
      <c r="H73" s="35" t="str">
        <f aca="false">IF($B73&gt;Inputs!$B$11,"",(D73-F73)*G73)</f>
        <v/>
      </c>
      <c r="I73" s="35" t="str">
        <f aca="false">IF($B73&gt;Inputs!$B$11,"",D73-F73+H73+E73)</f>
        <v/>
      </c>
      <c r="J73" s="35" t="str">
        <f aca="false">IF($B73&gt;Inputs!$B$11,"",I73/(1+Inputs!$B$45)^A73)</f>
        <v/>
      </c>
    </row>
    <row r="74" customFormat="false" ht="15" hidden="false" customHeight="false" outlineLevel="0" collapsed="false">
      <c r="A74" s="59" t="n">
        <v>70</v>
      </c>
      <c r="B74" s="60" t="str">
        <f aca="false">IF(Inputs!$B$9+69&gt;Inputs!$B$11,"",Inputs!$B$9+69)</f>
        <v/>
      </c>
      <c r="C74" s="61" t="str">
        <f aca="false">IF($B74&gt;Inputs!$B$11,"",IF($B74&lt;Inputs!$B$10,"Accumulation","Retirement"))</f>
        <v/>
      </c>
      <c r="D74" s="62" t="str">
        <f aca="false">IF($B74&gt;Inputs!$B$11,"",I73)</f>
        <v/>
      </c>
      <c r="E74" s="62" t="str">
        <f aca="false">IF($B74&gt;Inputs!$B$11,"",IF($B74&gt;=Inputs!$B$10,0,Retirement!$B$49*12*(1+Inputs!$B$53)^(A74-1)))</f>
        <v/>
      </c>
      <c r="F74" s="62" t="str">
        <f aca="false">IF($B74&gt;Inputs!$B$11,"",IF($B74&lt;Inputs!$B$10,0,Retirement!$B$23*(1+Inputs!$B$45)^($B74-Inputs!$B$10)))</f>
        <v/>
      </c>
      <c r="G74" s="63" t="str">
        <f aca="false">IF($B74&gt;Inputs!$B$11,"",IF($B74&lt;Inputs!$B$10,Inputs!$B$51,Inputs!$B$52))</f>
        <v/>
      </c>
      <c r="H74" s="62" t="str">
        <f aca="false">IF($B74&gt;Inputs!$B$11,"",(D74-F74)*G74)</f>
        <v/>
      </c>
      <c r="I74" s="62" t="str">
        <f aca="false">IF($B74&gt;Inputs!$B$11,"",D74-F74+H74+E74)</f>
        <v/>
      </c>
      <c r="J74" s="62" t="str">
        <f aca="false">IF($B74&gt;Inputs!$B$11,"",I74/(1+Inputs!$B$45)^A74)</f>
        <v/>
      </c>
    </row>
    <row r="75" customFormat="false" ht="15" hidden="false" customHeight="false" outlineLevel="0" collapsed="false">
      <c r="A75" s="34" t="n">
        <v>71</v>
      </c>
      <c r="B75" s="56" t="str">
        <f aca="false">IF(Inputs!$B$9+70&gt;Inputs!$B$11,"",Inputs!$B$9+70)</f>
        <v/>
      </c>
      <c r="C75" s="57" t="str">
        <f aca="false">IF($B75&gt;Inputs!$B$11,"",IF($B75&lt;Inputs!$B$10,"Accumulation","Retirement"))</f>
        <v/>
      </c>
      <c r="D75" s="35" t="str">
        <f aca="false">IF($B75&gt;Inputs!$B$11,"",I74)</f>
        <v/>
      </c>
      <c r="E75" s="35" t="str">
        <f aca="false">IF($B75&gt;Inputs!$B$11,"",IF($B75&gt;=Inputs!$B$10,0,Retirement!$B$49*12*(1+Inputs!$B$53)^(A75-1)))</f>
        <v/>
      </c>
      <c r="F75" s="35" t="str">
        <f aca="false">IF($B75&gt;Inputs!$B$11,"",IF($B75&lt;Inputs!$B$10,0,Retirement!$B$23*(1+Inputs!$B$45)^($B75-Inputs!$B$10)))</f>
        <v/>
      </c>
      <c r="G75" s="58" t="str">
        <f aca="false">IF($B75&gt;Inputs!$B$11,"",IF($B75&lt;Inputs!$B$10,Inputs!$B$51,Inputs!$B$52))</f>
        <v/>
      </c>
      <c r="H75" s="35" t="str">
        <f aca="false">IF($B75&gt;Inputs!$B$11,"",(D75-F75)*G75)</f>
        <v/>
      </c>
      <c r="I75" s="35" t="str">
        <f aca="false">IF($B75&gt;Inputs!$B$11,"",D75-F75+H75+E75)</f>
        <v/>
      </c>
      <c r="J75" s="35" t="str">
        <f aca="false">IF($B75&gt;Inputs!$B$11,"",I75/(1+Inputs!$B$45)^A75)</f>
        <v/>
      </c>
    </row>
    <row r="76" customFormat="false" ht="15" hidden="false" customHeight="false" outlineLevel="0" collapsed="false">
      <c r="A76" s="59" t="n">
        <v>72</v>
      </c>
      <c r="B76" s="60" t="str">
        <f aca="false">IF(Inputs!$B$9+71&gt;Inputs!$B$11,"",Inputs!$B$9+71)</f>
        <v/>
      </c>
      <c r="C76" s="61" t="str">
        <f aca="false">IF($B76&gt;Inputs!$B$11,"",IF($B76&lt;Inputs!$B$10,"Accumulation","Retirement"))</f>
        <v/>
      </c>
      <c r="D76" s="62" t="str">
        <f aca="false">IF($B76&gt;Inputs!$B$11,"",I75)</f>
        <v/>
      </c>
      <c r="E76" s="62" t="str">
        <f aca="false">IF($B76&gt;Inputs!$B$11,"",IF($B76&gt;=Inputs!$B$10,0,Retirement!$B$49*12*(1+Inputs!$B$53)^(A76-1)))</f>
        <v/>
      </c>
      <c r="F76" s="62" t="str">
        <f aca="false">IF($B76&gt;Inputs!$B$11,"",IF($B76&lt;Inputs!$B$10,0,Retirement!$B$23*(1+Inputs!$B$45)^($B76-Inputs!$B$10)))</f>
        <v/>
      </c>
      <c r="G76" s="63" t="str">
        <f aca="false">IF($B76&gt;Inputs!$B$11,"",IF($B76&lt;Inputs!$B$10,Inputs!$B$51,Inputs!$B$52))</f>
        <v/>
      </c>
      <c r="H76" s="62" t="str">
        <f aca="false">IF($B76&gt;Inputs!$B$11,"",(D76-F76)*G76)</f>
        <v/>
      </c>
      <c r="I76" s="62" t="str">
        <f aca="false">IF($B76&gt;Inputs!$B$11,"",D76-F76+H76+E76)</f>
        <v/>
      </c>
      <c r="J76" s="62" t="str">
        <f aca="false">IF($B76&gt;Inputs!$B$11,"",I76/(1+Inputs!$B$45)^A76)</f>
        <v/>
      </c>
    </row>
    <row r="78" customFormat="false" ht="15" hidden="false" customHeight="false" outlineLevel="0" collapsed="false">
      <c r="A78" s="48" t="s">
        <v>478</v>
      </c>
    </row>
    <row r="79" customFormat="false" ht="25.5" hidden="false" customHeight="true" outlineLevel="0" collapsed="false">
      <c r="A79" s="53" t="s">
        <v>479</v>
      </c>
      <c r="B79" s="55" t="s">
        <v>480</v>
      </c>
      <c r="C79" s="55"/>
      <c r="D79" s="55"/>
      <c r="E79" s="55"/>
      <c r="F79" s="55"/>
      <c r="G79" s="55"/>
      <c r="H79" s="55"/>
      <c r="I79" s="55"/>
      <c r="J79" s="55"/>
    </row>
    <row r="80" customFormat="false" ht="25.5" hidden="false" customHeight="true" outlineLevel="0" collapsed="false">
      <c r="A80" s="53" t="s">
        <v>481</v>
      </c>
      <c r="B80" s="55" t="s">
        <v>482</v>
      </c>
      <c r="C80" s="55"/>
      <c r="D80" s="55"/>
      <c r="E80" s="55"/>
      <c r="F80" s="55"/>
      <c r="G80" s="55"/>
      <c r="H80" s="55"/>
      <c r="I80" s="55"/>
      <c r="J80" s="55"/>
    </row>
    <row r="81" customFormat="false" ht="25.5" hidden="false" customHeight="true" outlineLevel="0" collapsed="false">
      <c r="A81" s="53" t="s">
        <v>483</v>
      </c>
      <c r="B81" s="55" t="s">
        <v>484</v>
      </c>
      <c r="C81" s="55"/>
      <c r="D81" s="55"/>
      <c r="E81" s="55"/>
      <c r="F81" s="55"/>
      <c r="G81" s="55"/>
      <c r="H81" s="55"/>
      <c r="I81" s="55"/>
      <c r="J81" s="55"/>
    </row>
    <row r="82" customFormat="false" ht="25.5" hidden="false" customHeight="true" outlineLevel="0" collapsed="false">
      <c r="A82" s="53" t="s">
        <v>474</v>
      </c>
      <c r="B82" s="55" t="s">
        <v>485</v>
      </c>
      <c r="C82" s="55"/>
      <c r="D82" s="55"/>
      <c r="E82" s="55"/>
      <c r="F82" s="55"/>
      <c r="G82" s="55"/>
      <c r="H82" s="55"/>
      <c r="I82" s="55"/>
      <c r="J82" s="55"/>
    </row>
    <row r="83" customFormat="false" ht="25.5" hidden="false" customHeight="true" outlineLevel="0" collapsed="false">
      <c r="A83" s="53" t="s">
        <v>486</v>
      </c>
      <c r="B83" s="55" t="s">
        <v>487</v>
      </c>
      <c r="C83" s="55"/>
      <c r="D83" s="55"/>
      <c r="E83" s="55"/>
      <c r="F83" s="55"/>
      <c r="G83" s="55"/>
      <c r="H83" s="55"/>
      <c r="I83" s="55"/>
      <c r="J83" s="55"/>
    </row>
    <row r="84" customFormat="false" ht="25.5" hidden="false" customHeight="true" outlineLevel="0" collapsed="false">
      <c r="A84" s="53" t="s">
        <v>488</v>
      </c>
      <c r="B84" s="55" t="s">
        <v>489</v>
      </c>
      <c r="C84" s="55"/>
      <c r="D84" s="55"/>
      <c r="E84" s="55"/>
      <c r="F84" s="55"/>
      <c r="G84" s="55"/>
      <c r="H84" s="55"/>
      <c r="I84" s="55"/>
      <c r="J84" s="55"/>
    </row>
    <row r="85" customFormat="false" ht="25.5" hidden="false" customHeight="true" outlineLevel="0" collapsed="false">
      <c r="A85" s="53" t="s">
        <v>490</v>
      </c>
      <c r="B85" s="55" t="s">
        <v>491</v>
      </c>
      <c r="C85" s="55"/>
      <c r="D85" s="55"/>
      <c r="E85" s="55"/>
      <c r="F85" s="55"/>
      <c r="G85" s="55"/>
      <c r="H85" s="55"/>
      <c r="I85" s="55"/>
      <c r="J85" s="55"/>
    </row>
  </sheetData>
  <mergeCells count="8">
    <mergeCell ref="A2:J2"/>
    <mergeCell ref="B79:J79"/>
    <mergeCell ref="B80:J80"/>
    <mergeCell ref="B81:J81"/>
    <mergeCell ref="B82:J82"/>
    <mergeCell ref="B83:J83"/>
    <mergeCell ref="B84:J84"/>
    <mergeCell ref="B85:J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4"/>
    <col collapsed="false" customWidth="true" hidden="false" outlineLevel="0" max="4" min="4" style="0" width="78"/>
  </cols>
  <sheetData>
    <row r="1" customFormat="false" ht="25.5" hidden="false" customHeight="true" outlineLevel="0" collapsed="false">
      <c r="A1" s="1" t="s">
        <v>492</v>
      </c>
      <c r="B1" s="2"/>
      <c r="C1" s="2"/>
      <c r="D1" s="2"/>
    </row>
    <row r="3" customFormat="false" ht="27.75" hidden="false" customHeight="true" outlineLevel="0" collapsed="false">
      <c r="A3" s="3" t="s">
        <v>493</v>
      </c>
      <c r="B3" s="3"/>
      <c r="C3" s="3"/>
      <c r="D3" s="3"/>
    </row>
    <row r="5" customFormat="false" ht="19.5" hidden="false" customHeight="true" outlineLevel="0" collapsed="false">
      <c r="A5" s="4" t="s">
        <v>494</v>
      </c>
      <c r="B5" s="5"/>
      <c r="C5" s="5"/>
      <c r="D5" s="5"/>
    </row>
    <row r="6" customFormat="false" ht="15" hidden="false" customHeight="false" outlineLevel="0" collapsed="false">
      <c r="A6" s="6" t="s">
        <v>117</v>
      </c>
      <c r="B6" s="6" t="s">
        <v>4</v>
      </c>
      <c r="C6" s="6" t="s">
        <v>5</v>
      </c>
      <c r="D6" s="6" t="s">
        <v>118</v>
      </c>
    </row>
    <row r="7" customFormat="false" ht="15" hidden="false" customHeight="false" outlineLevel="0" collapsed="false">
      <c r="A7" s="7" t="s">
        <v>495</v>
      </c>
      <c r="B7" s="26" t="n">
        <v>25000</v>
      </c>
      <c r="C7" s="9" t="s">
        <v>20</v>
      </c>
      <c r="D7" s="10" t="s">
        <v>496</v>
      </c>
    </row>
    <row r="8" customFormat="false" ht="15" hidden="false" customHeight="false" outlineLevel="0" collapsed="false">
      <c r="A8" s="7" t="s">
        <v>497</v>
      </c>
      <c r="B8" s="27" t="n">
        <v>0.12</v>
      </c>
      <c r="C8" s="9" t="s">
        <v>23</v>
      </c>
      <c r="D8" s="10" t="s">
        <v>496</v>
      </c>
    </row>
    <row r="9" customFormat="false" ht="15" hidden="false" customHeight="false" outlineLevel="0" collapsed="false">
      <c r="A9" s="7" t="s">
        <v>498</v>
      </c>
      <c r="B9" s="24" t="n">
        <v>20</v>
      </c>
      <c r="C9" s="9" t="s">
        <v>10</v>
      </c>
      <c r="D9" s="10" t="s">
        <v>496</v>
      </c>
    </row>
    <row r="10" customFormat="false" ht="22.35" hidden="false" customHeight="false" outlineLevel="0" collapsed="false">
      <c r="A10" s="14" t="s">
        <v>499</v>
      </c>
      <c r="B10" s="15" t="n">
        <f aca="false">FV(B8/12,B9*12,-B7)</f>
        <v>24731384.1346841</v>
      </c>
      <c r="C10" s="9" t="s">
        <v>26</v>
      </c>
      <c r="D10" s="10" t="s">
        <v>500</v>
      </c>
    </row>
    <row r="11" customFormat="false" ht="15" hidden="false" customHeight="false" outlineLevel="0" collapsed="false">
      <c r="A11" s="7" t="s">
        <v>501</v>
      </c>
      <c r="B11" s="28" t="n">
        <f aca="false">B7*B9*12</f>
        <v>6000000</v>
      </c>
      <c r="C11" s="9" t="s">
        <v>26</v>
      </c>
      <c r="D11" s="10" t="s">
        <v>502</v>
      </c>
    </row>
    <row r="12" customFormat="false" ht="15" hidden="false" customHeight="false" outlineLevel="0" collapsed="false">
      <c r="A12" s="7" t="s">
        <v>503</v>
      </c>
      <c r="B12" s="28" t="n">
        <f aca="false">B10-B11</f>
        <v>18731384.1346841</v>
      </c>
      <c r="C12" s="9" t="s">
        <v>26</v>
      </c>
      <c r="D12" s="10" t="s">
        <v>504</v>
      </c>
    </row>
    <row r="13" customFormat="false" ht="15" hidden="false" customHeight="false" outlineLevel="0" collapsed="false">
      <c r="A13" s="7" t="s">
        <v>505</v>
      </c>
      <c r="B13" s="30" t="n">
        <f aca="false">IFERROR(B10/B11,0)</f>
        <v>4.12189735578068</v>
      </c>
      <c r="C13" s="9" t="s">
        <v>138</v>
      </c>
      <c r="D13" s="10" t="s">
        <v>506</v>
      </c>
    </row>
    <row r="15" customFormat="false" ht="19.5" hidden="false" customHeight="true" outlineLevel="0" collapsed="false">
      <c r="A15" s="4" t="s">
        <v>507</v>
      </c>
      <c r="B15" s="5"/>
      <c r="C15" s="5"/>
      <c r="D15" s="5"/>
    </row>
    <row r="16" customFormat="false" ht="15" hidden="false" customHeight="false" outlineLevel="0" collapsed="false">
      <c r="A16" s="6" t="s">
        <v>117</v>
      </c>
      <c r="B16" s="6" t="s">
        <v>4</v>
      </c>
      <c r="C16" s="6" t="s">
        <v>5</v>
      </c>
      <c r="D16" s="6" t="s">
        <v>118</v>
      </c>
    </row>
    <row r="17" customFormat="false" ht="15" hidden="false" customHeight="false" outlineLevel="0" collapsed="false">
      <c r="A17" s="7" t="s">
        <v>508</v>
      </c>
      <c r="B17" s="26" t="n">
        <v>20000</v>
      </c>
      <c r="C17" s="9" t="s">
        <v>20</v>
      </c>
      <c r="D17" s="10" t="s">
        <v>496</v>
      </c>
    </row>
    <row r="18" customFormat="false" ht="15" hidden="false" customHeight="false" outlineLevel="0" collapsed="false">
      <c r="A18" s="7" t="s">
        <v>509</v>
      </c>
      <c r="B18" s="27" t="n">
        <v>0.1</v>
      </c>
      <c r="C18" s="9" t="s">
        <v>23</v>
      </c>
      <c r="D18" s="10" t="s">
        <v>510</v>
      </c>
    </row>
    <row r="19" customFormat="false" ht="15" hidden="false" customHeight="false" outlineLevel="0" collapsed="false">
      <c r="A19" s="7" t="s">
        <v>497</v>
      </c>
      <c r="B19" s="27" t="n">
        <v>0.12</v>
      </c>
      <c r="C19" s="9" t="s">
        <v>23</v>
      </c>
      <c r="D19" s="10" t="s">
        <v>496</v>
      </c>
    </row>
    <row r="20" customFormat="false" ht="15" hidden="false" customHeight="false" outlineLevel="0" collapsed="false">
      <c r="A20" s="7" t="s">
        <v>498</v>
      </c>
      <c r="B20" s="24" t="n">
        <v>20</v>
      </c>
      <c r="C20" s="9" t="s">
        <v>10</v>
      </c>
      <c r="D20" s="10" t="s">
        <v>496</v>
      </c>
    </row>
    <row r="21" customFormat="false" ht="32.8" hidden="false" customHeight="false" outlineLevel="0" collapsed="false">
      <c r="A21" s="14" t="s">
        <v>499</v>
      </c>
      <c r="B21" s="15" t="n">
        <f aca="false">IF(ABS(B19-B18)&lt;0.0001,B17*12*B20*(1+B19)^(B20-1),B17*12*((1+B19)^B20-(1+B18)^B20)/(B19-B18))</f>
        <v>35025517.7273921</v>
      </c>
      <c r="C21" s="9" t="s">
        <v>26</v>
      </c>
      <c r="D21" s="10" t="s">
        <v>511</v>
      </c>
    </row>
    <row r="22" customFormat="false" ht="22.35" hidden="false" customHeight="false" outlineLevel="0" collapsed="false">
      <c r="A22" s="7" t="s">
        <v>501</v>
      </c>
      <c r="B22" s="28" t="n">
        <f aca="false">IF(ABS(B18)&lt;0.0001,B17*12*B20,B17*12*((1+B18)^B20-1)/B18)</f>
        <v>13745999.8783815</v>
      </c>
      <c r="C22" s="9" t="s">
        <v>26</v>
      </c>
      <c r="D22" s="10" t="s">
        <v>512</v>
      </c>
    </row>
    <row r="23" customFormat="false" ht="15" hidden="false" customHeight="false" outlineLevel="0" collapsed="false">
      <c r="A23" s="7" t="s">
        <v>503</v>
      </c>
      <c r="B23" s="28" t="n">
        <f aca="false">B21-B22</f>
        <v>21279517.8490107</v>
      </c>
      <c r="C23" s="9" t="s">
        <v>26</v>
      </c>
      <c r="D23" s="10" t="s">
        <v>504</v>
      </c>
    </row>
    <row r="25" customFormat="false" ht="19.5" hidden="false" customHeight="true" outlineLevel="0" collapsed="false">
      <c r="A25" s="4" t="s">
        <v>513</v>
      </c>
      <c r="B25" s="5"/>
      <c r="C25" s="5"/>
      <c r="D25" s="5"/>
    </row>
    <row r="26" customFormat="false" ht="15" hidden="false" customHeight="false" outlineLevel="0" collapsed="false">
      <c r="A26" s="6" t="s">
        <v>117</v>
      </c>
      <c r="B26" s="6" t="s">
        <v>4</v>
      </c>
      <c r="C26" s="6" t="s">
        <v>5</v>
      </c>
      <c r="D26" s="6" t="s">
        <v>118</v>
      </c>
    </row>
    <row r="27" customFormat="false" ht="15" hidden="false" customHeight="false" outlineLevel="0" collapsed="false">
      <c r="A27" s="7" t="s">
        <v>514</v>
      </c>
      <c r="B27" s="26" t="n">
        <v>1000000</v>
      </c>
      <c r="C27" s="9" t="s">
        <v>26</v>
      </c>
      <c r="D27" s="10" t="s">
        <v>496</v>
      </c>
    </row>
    <row r="28" customFormat="false" ht="15" hidden="false" customHeight="false" outlineLevel="0" collapsed="false">
      <c r="A28" s="7" t="s">
        <v>497</v>
      </c>
      <c r="B28" s="27" t="n">
        <v>0.12</v>
      </c>
      <c r="C28" s="9" t="s">
        <v>23</v>
      </c>
      <c r="D28" s="10" t="s">
        <v>496</v>
      </c>
    </row>
    <row r="29" customFormat="false" ht="15" hidden="false" customHeight="false" outlineLevel="0" collapsed="false">
      <c r="A29" s="7" t="s">
        <v>498</v>
      </c>
      <c r="B29" s="24" t="n">
        <v>20</v>
      </c>
      <c r="C29" s="9" t="s">
        <v>10</v>
      </c>
      <c r="D29" s="10" t="s">
        <v>496</v>
      </c>
    </row>
    <row r="30" customFormat="false" ht="22.35" hidden="false" customHeight="false" outlineLevel="0" collapsed="false">
      <c r="A30" s="14" t="s">
        <v>499</v>
      </c>
      <c r="B30" s="15" t="n">
        <f aca="false">FV(B28,B29,0,-B27)</f>
        <v>9646293.09327495</v>
      </c>
      <c r="C30" s="9" t="s">
        <v>26</v>
      </c>
      <c r="D30" s="10" t="s">
        <v>515</v>
      </c>
    </row>
    <row r="31" customFormat="false" ht="15" hidden="false" customHeight="false" outlineLevel="0" collapsed="false">
      <c r="A31" s="7" t="s">
        <v>503</v>
      </c>
      <c r="B31" s="28" t="n">
        <f aca="false">B30-B27</f>
        <v>8646293.09327495</v>
      </c>
      <c r="C31" s="9" t="s">
        <v>26</v>
      </c>
      <c r="D31" s="10" t="s">
        <v>516</v>
      </c>
    </row>
    <row r="33" customFormat="false" ht="19.5" hidden="false" customHeight="true" outlineLevel="0" collapsed="false">
      <c r="A33" s="4" t="s">
        <v>517</v>
      </c>
      <c r="B33" s="5"/>
      <c r="C33" s="5"/>
      <c r="D33" s="5"/>
    </row>
    <row r="34" customFormat="false" ht="15" hidden="false" customHeight="false" outlineLevel="0" collapsed="false">
      <c r="A34" s="6" t="s">
        <v>117</v>
      </c>
      <c r="B34" s="6" t="s">
        <v>4</v>
      </c>
      <c r="C34" s="6" t="s">
        <v>5</v>
      </c>
      <c r="D34" s="6" t="s">
        <v>118</v>
      </c>
    </row>
    <row r="35" customFormat="false" ht="15" hidden="false" customHeight="false" outlineLevel="0" collapsed="false">
      <c r="A35" s="7" t="s">
        <v>518</v>
      </c>
      <c r="B35" s="26" t="n">
        <v>10000000</v>
      </c>
      <c r="C35" s="9" t="s">
        <v>26</v>
      </c>
      <c r="D35" s="10" t="s">
        <v>496</v>
      </c>
    </row>
    <row r="36" customFormat="false" ht="15" hidden="false" customHeight="false" outlineLevel="0" collapsed="false">
      <c r="A36" s="7" t="s">
        <v>497</v>
      </c>
      <c r="B36" s="27" t="n">
        <v>0.12</v>
      </c>
      <c r="C36" s="9" t="s">
        <v>23</v>
      </c>
      <c r="D36" s="10" t="s">
        <v>496</v>
      </c>
    </row>
    <row r="37" customFormat="false" ht="15" hidden="false" customHeight="false" outlineLevel="0" collapsed="false">
      <c r="A37" s="7" t="s">
        <v>519</v>
      </c>
      <c r="B37" s="24" t="n">
        <v>15</v>
      </c>
      <c r="C37" s="9" t="s">
        <v>10</v>
      </c>
      <c r="D37" s="10" t="s">
        <v>496</v>
      </c>
    </row>
    <row r="38" customFormat="false" ht="22.35" hidden="false" customHeight="false" outlineLevel="0" collapsed="false">
      <c r="A38" s="14" t="s">
        <v>520</v>
      </c>
      <c r="B38" s="15" t="n">
        <f aca="false">-PMT(B36/12,B37*12,0,B35)</f>
        <v>20016.8062091514</v>
      </c>
      <c r="C38" s="9" t="s">
        <v>20</v>
      </c>
      <c r="D38" s="10" t="s">
        <v>521</v>
      </c>
    </row>
    <row r="39" customFormat="false" ht="22.35" hidden="false" customHeight="false" outlineLevel="0" collapsed="false">
      <c r="A39" s="14" t="s">
        <v>522</v>
      </c>
      <c r="B39" s="15" t="n">
        <f aca="false">B35/(1+B36)^B37</f>
        <v>1826962.61264199</v>
      </c>
      <c r="C39" s="9" t="s">
        <v>26</v>
      </c>
      <c r="D39" s="10" t="s">
        <v>523</v>
      </c>
    </row>
    <row r="41" customFormat="false" ht="19.5" hidden="false" customHeight="true" outlineLevel="0" collapsed="false">
      <c r="A41" s="4" t="s">
        <v>524</v>
      </c>
      <c r="B41" s="5"/>
      <c r="C41" s="5"/>
      <c r="D41" s="5"/>
    </row>
    <row r="42" customFormat="false" ht="15" hidden="false" customHeight="false" outlineLevel="0" collapsed="false">
      <c r="A42" s="6" t="s">
        <v>117</v>
      </c>
      <c r="B42" s="6" t="s">
        <v>4</v>
      </c>
      <c r="C42" s="6" t="s">
        <v>5</v>
      </c>
      <c r="D42" s="6" t="s">
        <v>118</v>
      </c>
    </row>
    <row r="43" customFormat="false" ht="15" hidden="false" customHeight="false" outlineLevel="0" collapsed="false">
      <c r="A43" s="7" t="s">
        <v>525</v>
      </c>
      <c r="B43" s="26" t="n">
        <v>100000</v>
      </c>
      <c r="C43" s="9" t="s">
        <v>26</v>
      </c>
      <c r="D43" s="10" t="s">
        <v>496</v>
      </c>
    </row>
    <row r="44" customFormat="false" ht="15" hidden="false" customHeight="false" outlineLevel="0" collapsed="false">
      <c r="A44" s="7" t="s">
        <v>333</v>
      </c>
      <c r="B44" s="27" t="n">
        <v>0.06</v>
      </c>
      <c r="C44" s="9" t="s">
        <v>23</v>
      </c>
      <c r="D44" s="10" t="s">
        <v>526</v>
      </c>
    </row>
    <row r="45" customFormat="false" ht="15" hidden="false" customHeight="false" outlineLevel="0" collapsed="false">
      <c r="A45" s="7" t="s">
        <v>527</v>
      </c>
      <c r="B45" s="24" t="n">
        <v>25</v>
      </c>
      <c r="C45" s="9" t="s">
        <v>10</v>
      </c>
      <c r="D45" s="10" t="s">
        <v>496</v>
      </c>
    </row>
    <row r="46" customFormat="false" ht="15" hidden="false" customHeight="false" outlineLevel="0" collapsed="false">
      <c r="A46" s="14" t="s">
        <v>528</v>
      </c>
      <c r="B46" s="15" t="n">
        <f aca="false">FV(B44,B45,0,-B43)</f>
        <v>429187.071974349</v>
      </c>
      <c r="C46" s="9" t="s">
        <v>26</v>
      </c>
      <c r="D46" s="10" t="s">
        <v>529</v>
      </c>
    </row>
    <row r="47" customFormat="false" ht="22.35" hidden="false" customHeight="false" outlineLevel="0" collapsed="false">
      <c r="A47" s="7" t="s">
        <v>530</v>
      </c>
      <c r="B47" s="28" t="n">
        <f aca="false">B46/(1+B44)^B45</f>
        <v>100000</v>
      </c>
      <c r="C47" s="9" t="s">
        <v>26</v>
      </c>
      <c r="D47" s="10" t="s">
        <v>531</v>
      </c>
    </row>
    <row r="48" customFormat="false" ht="15" hidden="false" customHeight="false" outlineLevel="0" collapsed="false">
      <c r="A48" s="7" t="s">
        <v>532</v>
      </c>
      <c r="B48" s="20" t="n">
        <f aca="false">1-1/(1+B44)^B45</f>
        <v>0.767001369496105</v>
      </c>
      <c r="C48" s="9" t="s">
        <v>23</v>
      </c>
      <c r="D48" s="10" t="s">
        <v>533</v>
      </c>
    </row>
    <row r="50" customFormat="false" ht="19.5" hidden="false" customHeight="true" outlineLevel="0" collapsed="false">
      <c r="A50" s="4" t="s">
        <v>534</v>
      </c>
      <c r="B50" s="5"/>
      <c r="C50" s="5"/>
      <c r="D50" s="5"/>
    </row>
    <row r="51" customFormat="false" ht="15" hidden="false" customHeight="false" outlineLevel="0" collapsed="false">
      <c r="A51" s="6" t="s">
        <v>117</v>
      </c>
      <c r="B51" s="6" t="s">
        <v>4</v>
      </c>
      <c r="C51" s="6" t="s">
        <v>5</v>
      </c>
      <c r="D51" s="6" t="s">
        <v>118</v>
      </c>
    </row>
    <row r="52" customFormat="false" ht="15" hidden="false" customHeight="false" outlineLevel="0" collapsed="false">
      <c r="A52" s="7" t="s">
        <v>535</v>
      </c>
      <c r="B52" s="26" t="n">
        <v>50000000</v>
      </c>
      <c r="C52" s="9" t="s">
        <v>26</v>
      </c>
      <c r="D52" s="10" t="s">
        <v>496</v>
      </c>
    </row>
    <row r="53" customFormat="false" ht="15" hidden="false" customHeight="false" outlineLevel="0" collapsed="false">
      <c r="A53" s="7" t="s">
        <v>536</v>
      </c>
      <c r="B53" s="26" t="n">
        <v>200000</v>
      </c>
      <c r="C53" s="9" t="s">
        <v>20</v>
      </c>
      <c r="D53" s="10" t="s">
        <v>496</v>
      </c>
    </row>
    <row r="54" customFormat="false" ht="15" hidden="false" customHeight="false" outlineLevel="0" collapsed="false">
      <c r="A54" s="7" t="s">
        <v>537</v>
      </c>
      <c r="B54" s="27" t="n">
        <v>0.075</v>
      </c>
      <c r="C54" s="9" t="s">
        <v>23</v>
      </c>
      <c r="D54" s="10" t="s">
        <v>496</v>
      </c>
    </row>
    <row r="55" customFormat="false" ht="32.8" hidden="false" customHeight="false" outlineLevel="0" collapsed="false">
      <c r="A55" s="7" t="s">
        <v>538</v>
      </c>
      <c r="B55" s="30" t="n">
        <f aca="false">IFERROR(NPER(B54/12,B53,-B52),999)</f>
        <v>999</v>
      </c>
      <c r="C55" s="9" t="s">
        <v>207</v>
      </c>
      <c r="D55" s="10" t="s">
        <v>539</v>
      </c>
    </row>
    <row r="56" customFormat="false" ht="15" hidden="false" customHeight="false" outlineLevel="0" collapsed="false">
      <c r="A56" s="14" t="s">
        <v>540</v>
      </c>
      <c r="B56" s="64" t="n">
        <f aca="false">B55/12</f>
        <v>83.25</v>
      </c>
      <c r="C56" s="9" t="s">
        <v>10</v>
      </c>
      <c r="D56" s="10" t="s">
        <v>541</v>
      </c>
    </row>
    <row r="57" customFormat="false" ht="22.35" hidden="false" customHeight="false" outlineLevel="0" collapsed="false">
      <c r="A57" s="7" t="s">
        <v>542</v>
      </c>
      <c r="B57" s="20" t="n">
        <f aca="false">IFERROR(B53*12/B52,0)</f>
        <v>0.048</v>
      </c>
      <c r="C57" s="9" t="s">
        <v>23</v>
      </c>
      <c r="D57" s="10" t="s">
        <v>543</v>
      </c>
    </row>
    <row r="59" customFormat="false" ht="19.5" hidden="false" customHeight="true" outlineLevel="0" collapsed="false">
      <c r="A59" s="4" t="s">
        <v>544</v>
      </c>
      <c r="B59" s="5"/>
      <c r="C59" s="5"/>
      <c r="D59" s="5"/>
    </row>
    <row r="60" customFormat="false" ht="15" hidden="false" customHeight="false" outlineLevel="0" collapsed="false">
      <c r="A60" s="6" t="s">
        <v>117</v>
      </c>
      <c r="B60" s="6" t="s">
        <v>4</v>
      </c>
      <c r="C60" s="6" t="s">
        <v>5</v>
      </c>
      <c r="D60" s="6" t="s">
        <v>118</v>
      </c>
    </row>
    <row r="61" customFormat="false" ht="15" hidden="false" customHeight="false" outlineLevel="0" collapsed="false">
      <c r="A61" s="7" t="s">
        <v>545</v>
      </c>
      <c r="B61" s="26" t="n">
        <v>5000000</v>
      </c>
      <c r="C61" s="9" t="s">
        <v>26</v>
      </c>
      <c r="D61" s="10" t="s">
        <v>496</v>
      </c>
    </row>
    <row r="62" customFormat="false" ht="15" hidden="false" customHeight="false" outlineLevel="0" collapsed="false">
      <c r="A62" s="7" t="s">
        <v>546</v>
      </c>
      <c r="B62" s="27" t="n">
        <v>0.085</v>
      </c>
      <c r="C62" s="9" t="s">
        <v>23</v>
      </c>
      <c r="D62" s="10" t="s">
        <v>496</v>
      </c>
    </row>
    <row r="63" customFormat="false" ht="15" hidden="false" customHeight="false" outlineLevel="0" collapsed="false">
      <c r="A63" s="7" t="s">
        <v>547</v>
      </c>
      <c r="B63" s="24" t="n">
        <v>20</v>
      </c>
      <c r="C63" s="9" t="s">
        <v>10</v>
      </c>
      <c r="D63" s="10" t="s">
        <v>496</v>
      </c>
    </row>
    <row r="64" customFormat="false" ht="22.35" hidden="false" customHeight="false" outlineLevel="0" collapsed="false">
      <c r="A64" s="14" t="s">
        <v>548</v>
      </c>
      <c r="B64" s="15" t="n">
        <f aca="false">-PMT(B62/12,B63*12,B61)</f>
        <v>43391.1616682767</v>
      </c>
      <c r="C64" s="9" t="s">
        <v>20</v>
      </c>
      <c r="D64" s="10" t="s">
        <v>549</v>
      </c>
    </row>
    <row r="65" customFormat="false" ht="15" hidden="false" customHeight="false" outlineLevel="0" collapsed="false">
      <c r="A65" s="7" t="s">
        <v>550</v>
      </c>
      <c r="B65" s="28" t="n">
        <f aca="false">B64*B63*12</f>
        <v>10413878.8003864</v>
      </c>
      <c r="C65" s="9" t="s">
        <v>26</v>
      </c>
      <c r="D65" s="10" t="s">
        <v>551</v>
      </c>
    </row>
    <row r="66" customFormat="false" ht="15" hidden="false" customHeight="false" outlineLevel="0" collapsed="false">
      <c r="A66" s="7" t="s">
        <v>552</v>
      </c>
      <c r="B66" s="28" t="n">
        <f aca="false">B65-B61</f>
        <v>5413878.80038641</v>
      </c>
      <c r="C66" s="9" t="s">
        <v>26</v>
      </c>
      <c r="D66" s="10" t="s">
        <v>553</v>
      </c>
    </row>
    <row r="67" customFormat="false" ht="15" hidden="false" customHeight="false" outlineLevel="0" collapsed="false">
      <c r="A67" s="7" t="s">
        <v>554</v>
      </c>
      <c r="B67" s="20" t="n">
        <f aca="false">IFERROR(B66/B61,0)</f>
        <v>1.08277576007728</v>
      </c>
      <c r="C67" s="9" t="s">
        <v>23</v>
      </c>
      <c r="D67" s="10" t="s">
        <v>555</v>
      </c>
    </row>
    <row r="69" customFormat="false" ht="19.5" hidden="false" customHeight="true" outlineLevel="0" collapsed="false">
      <c r="A69" s="4" t="s">
        <v>556</v>
      </c>
      <c r="B69" s="5"/>
      <c r="C69" s="5"/>
      <c r="D69" s="5"/>
    </row>
    <row r="70" customFormat="false" ht="15" hidden="false" customHeight="false" outlineLevel="0" collapsed="false">
      <c r="A70" s="6" t="s">
        <v>117</v>
      </c>
      <c r="B70" s="6" t="s">
        <v>4</v>
      </c>
      <c r="C70" s="6" t="s">
        <v>5</v>
      </c>
      <c r="D70" s="6" t="s">
        <v>118</v>
      </c>
    </row>
    <row r="71" customFormat="false" ht="15" hidden="false" customHeight="false" outlineLevel="0" collapsed="false">
      <c r="A71" s="7" t="s">
        <v>557</v>
      </c>
      <c r="B71" s="26" t="n">
        <v>10000000</v>
      </c>
      <c r="C71" s="9" t="s">
        <v>26</v>
      </c>
      <c r="D71" s="10" t="s">
        <v>496</v>
      </c>
    </row>
    <row r="72" customFormat="false" ht="15" hidden="false" customHeight="false" outlineLevel="0" collapsed="false">
      <c r="A72" s="7" t="s">
        <v>558</v>
      </c>
      <c r="B72" s="26" t="n">
        <v>25000</v>
      </c>
      <c r="C72" s="9" t="s">
        <v>20</v>
      </c>
      <c r="D72" s="10" t="s">
        <v>496</v>
      </c>
    </row>
    <row r="73" customFormat="false" ht="15" hidden="false" customHeight="false" outlineLevel="0" collapsed="false">
      <c r="A73" s="7" t="s">
        <v>497</v>
      </c>
      <c r="B73" s="27" t="n">
        <v>0.12</v>
      </c>
      <c r="C73" s="9" t="s">
        <v>23</v>
      </c>
      <c r="D73" s="10" t="s">
        <v>496</v>
      </c>
    </row>
    <row r="74" customFormat="false" ht="15" hidden="false" customHeight="false" outlineLevel="0" collapsed="false">
      <c r="A74" s="14" t="s">
        <v>559</v>
      </c>
      <c r="B74" s="64" t="n">
        <f aca="false">IFERROR(NPER(B73/12,-B72,0,B71)/12,0)</f>
        <v>13.4789313054322</v>
      </c>
      <c r="C74" s="9" t="s">
        <v>10</v>
      </c>
      <c r="D74" s="10" t="s">
        <v>560</v>
      </c>
    </row>
    <row r="75" customFormat="false" ht="15" hidden="false" customHeight="false" outlineLevel="0" collapsed="false">
      <c r="A75" s="7" t="s">
        <v>561</v>
      </c>
      <c r="B75" s="24" t="n">
        <v>10</v>
      </c>
      <c r="C75" s="9" t="s">
        <v>10</v>
      </c>
      <c r="D75" s="10" t="s">
        <v>496</v>
      </c>
    </row>
    <row r="76" customFormat="false" ht="32.8" hidden="false" customHeight="false" outlineLevel="0" collapsed="false">
      <c r="A76" s="14" t="s">
        <v>562</v>
      </c>
      <c r="B76" s="65" t="n">
        <f aca="false">IFERROR(RATE(B75*12,-B72,0,B71)*12,0)</f>
        <v>0.209576682838484</v>
      </c>
      <c r="C76" s="9" t="s">
        <v>23</v>
      </c>
      <c r="D76" s="10" t="s">
        <v>563</v>
      </c>
    </row>
    <row r="77" customFormat="false" ht="22.35" hidden="false" customHeight="false" outlineLevel="0" collapsed="false">
      <c r="A77" s="7" t="s">
        <v>564</v>
      </c>
      <c r="B77" s="20" t="n">
        <f aca="false">(1+B73)/(1+0.06)-1</f>
        <v>0.0566037735849057</v>
      </c>
      <c r="C77" s="9" t="s">
        <v>23</v>
      </c>
      <c r="D77" s="10" t="s">
        <v>565</v>
      </c>
    </row>
    <row r="78" customFormat="false" ht="15" hidden="false" customHeight="false" outlineLevel="0" collapsed="false">
      <c r="A78" s="7" t="s">
        <v>566</v>
      </c>
      <c r="B78" s="30" t="n">
        <f aca="false">IFERROR(LOG(2)/LOG(1+B73),0)</f>
        <v>6.1162553741997</v>
      </c>
      <c r="C78" s="9" t="s">
        <v>10</v>
      </c>
      <c r="D78" s="10" t="s">
        <v>567</v>
      </c>
    </row>
    <row r="80" customFormat="false" ht="27.75" hidden="false" customHeight="true" outlineLevel="0" collapsed="false">
      <c r="A80" s="3" t="s">
        <v>568</v>
      </c>
      <c r="B80" s="3"/>
      <c r="C80" s="3"/>
      <c r="D80" s="3"/>
    </row>
  </sheetData>
  <mergeCells count="2">
    <mergeCell ref="A3:D3"/>
    <mergeCell ref="A80:D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4"/>
    <col collapsed="false" customWidth="true" hidden="false" outlineLevel="0" max="4" min="4" style="0" width="78"/>
  </cols>
  <sheetData>
    <row r="1" customFormat="false" ht="25.5" hidden="false" customHeight="true" outlineLevel="0" collapsed="false">
      <c r="A1" s="1" t="s">
        <v>569</v>
      </c>
      <c r="B1" s="2"/>
      <c r="C1" s="2"/>
      <c r="D1" s="2"/>
    </row>
    <row r="4" customFormat="false" ht="19.5" hidden="false" customHeight="true" outlineLevel="0" collapsed="false">
      <c r="A4" s="4" t="s">
        <v>570</v>
      </c>
      <c r="B4" s="5"/>
      <c r="C4" s="5"/>
      <c r="D4" s="5"/>
    </row>
    <row r="5" customFormat="false" ht="15" hidden="false" customHeight="false" outlineLevel="0" collapsed="false">
      <c r="A5" s="6" t="s">
        <v>117</v>
      </c>
      <c r="B5" s="6" t="s">
        <v>4</v>
      </c>
      <c r="C5" s="6" t="s">
        <v>5</v>
      </c>
      <c r="D5" s="6" t="s">
        <v>118</v>
      </c>
    </row>
    <row r="6" customFormat="false" ht="15" hidden="false" customHeight="false" outlineLevel="0" collapsed="false">
      <c r="A6" s="7" t="s">
        <v>126</v>
      </c>
      <c r="B6" s="13" t="n">
        <f aca="false">Inputs!B9</f>
        <v>24</v>
      </c>
      <c r="C6" s="9" t="s">
        <v>10</v>
      </c>
      <c r="D6" s="10" t="s">
        <v>219</v>
      </c>
    </row>
    <row r="7" customFormat="false" ht="15" hidden="false" customHeight="false" outlineLevel="0" collapsed="false">
      <c r="A7" s="7" t="s">
        <v>571</v>
      </c>
      <c r="B7" s="20" t="n">
        <f aca="false">INDEX(Tables!$B$16:$B$23,MATCH(B6,Tables!$A$16:$A$23,1))</f>
        <v>0.75</v>
      </c>
      <c r="C7" s="9" t="s">
        <v>23</v>
      </c>
      <c r="D7" s="10" t="s">
        <v>572</v>
      </c>
    </row>
    <row r="8" customFormat="false" ht="15" hidden="false" customHeight="false" outlineLevel="0" collapsed="false">
      <c r="A8" s="7" t="s">
        <v>573</v>
      </c>
      <c r="B8" s="20" t="n">
        <f aca="false">INDEX(Tables!$C$16:$C$23,MATCH(B6,Tables!$A$16:$A$23,1))</f>
        <v>0.15</v>
      </c>
      <c r="C8" s="9" t="s">
        <v>23</v>
      </c>
      <c r="D8" s="10" t="s">
        <v>574</v>
      </c>
    </row>
    <row r="9" customFormat="false" ht="15" hidden="false" customHeight="false" outlineLevel="0" collapsed="false">
      <c r="A9" s="7" t="s">
        <v>575</v>
      </c>
      <c r="B9" s="20" t="n">
        <f aca="false">INDEX(Tables!$D$16:$D$23,MATCH(B6,Tables!$A$16:$A$23,1))</f>
        <v>0.1</v>
      </c>
      <c r="C9" s="9" t="s">
        <v>23</v>
      </c>
      <c r="D9" s="10" t="s">
        <v>576</v>
      </c>
    </row>
    <row r="10" customFormat="false" ht="15" hidden="false" customHeight="false" outlineLevel="0" collapsed="false">
      <c r="A10" s="21" t="s">
        <v>577</v>
      </c>
      <c r="B10" s="66" t="n">
        <f aca="false">B7+B8+B9</f>
        <v>1</v>
      </c>
      <c r="C10" s="9" t="s">
        <v>23</v>
      </c>
      <c r="D10" s="10" t="s">
        <v>578</v>
      </c>
    </row>
    <row r="12" customFormat="false" ht="19.5" hidden="false" customHeight="true" outlineLevel="0" collapsed="false">
      <c r="A12" s="4" t="s">
        <v>579</v>
      </c>
      <c r="B12" s="5"/>
      <c r="C12" s="5"/>
      <c r="D12" s="5"/>
    </row>
    <row r="13" customFormat="false" ht="15" hidden="false" customHeight="false" outlineLevel="0" collapsed="false">
      <c r="A13" s="6" t="s">
        <v>117</v>
      </c>
      <c r="B13" s="6" t="s">
        <v>4</v>
      </c>
      <c r="C13" s="6" t="s">
        <v>5</v>
      </c>
      <c r="D13" s="6" t="s">
        <v>118</v>
      </c>
    </row>
    <row r="14" customFormat="false" ht="15" hidden="false" customHeight="false" outlineLevel="0" collapsed="false">
      <c r="A14" s="7" t="s">
        <v>19</v>
      </c>
      <c r="B14" s="11" t="n">
        <f aca="false">Inputs!B26</f>
        <v>128558.333333333</v>
      </c>
      <c r="C14" s="9" t="s">
        <v>20</v>
      </c>
      <c r="D14" s="10" t="s">
        <v>219</v>
      </c>
    </row>
    <row r="15" customFormat="false" ht="15" hidden="false" customHeight="false" outlineLevel="0" collapsed="false">
      <c r="A15" s="7" t="s">
        <v>580</v>
      </c>
      <c r="B15" s="28" t="n">
        <f aca="false">B14*B7</f>
        <v>96418.75</v>
      </c>
      <c r="C15" s="9" t="s">
        <v>20</v>
      </c>
      <c r="D15" s="10" t="s">
        <v>581</v>
      </c>
    </row>
    <row r="16" customFormat="false" ht="23.85" hidden="false" customHeight="false" outlineLevel="0" collapsed="false">
      <c r="A16" s="7" t="s">
        <v>582</v>
      </c>
      <c r="B16" s="28" t="n">
        <f aca="false">B14*B8</f>
        <v>19283.75</v>
      </c>
      <c r="C16" s="9" t="s">
        <v>20</v>
      </c>
      <c r="D16" s="10" t="s">
        <v>583</v>
      </c>
    </row>
    <row r="17" customFormat="false" ht="15" hidden="false" customHeight="false" outlineLevel="0" collapsed="false">
      <c r="A17" s="7" t="s">
        <v>584</v>
      </c>
      <c r="B17" s="28" t="n">
        <f aca="false">B14*B9</f>
        <v>12855.8333333333</v>
      </c>
      <c r="C17" s="9" t="s">
        <v>20</v>
      </c>
      <c r="D17" s="10" t="s">
        <v>585</v>
      </c>
    </row>
    <row r="18" customFormat="false" ht="15" hidden="false" customHeight="false" outlineLevel="0" collapsed="false">
      <c r="A18" s="21" t="s">
        <v>586</v>
      </c>
      <c r="B18" s="32" t="n">
        <f aca="false">SUM(B15:B17)</f>
        <v>128558.333333333</v>
      </c>
      <c r="C18" s="9" t="s">
        <v>20</v>
      </c>
      <c r="D18" s="10" t="s">
        <v>587</v>
      </c>
    </row>
    <row r="20" customFormat="false" ht="27.75" hidden="false" customHeight="true" outlineLevel="0" collapsed="false">
      <c r="A20" s="3" t="s">
        <v>588</v>
      </c>
      <c r="B20" s="3"/>
      <c r="C20" s="3"/>
      <c r="D20" s="3"/>
    </row>
    <row r="22" customFormat="false" ht="19.5" hidden="false" customHeight="true" outlineLevel="0" collapsed="false">
      <c r="A22" s="4" t="s">
        <v>589</v>
      </c>
      <c r="B22" s="5"/>
      <c r="C22" s="5"/>
      <c r="D22" s="5"/>
    </row>
    <row r="23" customFormat="false" ht="15" hidden="false" customHeight="false" outlineLevel="0" collapsed="false">
      <c r="A23" s="67" t="s">
        <v>469</v>
      </c>
      <c r="B23" s="67" t="s">
        <v>590</v>
      </c>
      <c r="C23" s="67" t="s">
        <v>591</v>
      </c>
      <c r="D23" s="67" t="s">
        <v>592</v>
      </c>
    </row>
    <row r="24" customFormat="false" ht="15" hidden="false" customHeight="false" outlineLevel="0" collapsed="false">
      <c r="A24" s="56" t="n">
        <v>25</v>
      </c>
      <c r="B24" s="58" t="n">
        <f aca="false">INDEX(Tables!$B$16:$B$23,MATCH(A24,Tables!$A$16:$A$23,1))</f>
        <v>0.75</v>
      </c>
      <c r="C24" s="58" t="n">
        <f aca="false">INDEX(Tables!$C$16:$C$23,MATCH(A24,Tables!$A$16:$A$23,1))</f>
        <v>0.15</v>
      </c>
      <c r="D24" s="58" t="n">
        <f aca="false">INDEX(Tables!$D$16:$D$23,MATCH(A24,Tables!$A$16:$A$23,1))</f>
        <v>0.1</v>
      </c>
    </row>
    <row r="25" customFormat="false" ht="15" hidden="false" customHeight="false" outlineLevel="0" collapsed="false">
      <c r="A25" s="56" t="n">
        <v>30</v>
      </c>
      <c r="B25" s="58" t="n">
        <f aca="false">INDEX(Tables!$B$16:$B$23,MATCH(A25,Tables!$A$16:$A$23,1))</f>
        <v>0.75</v>
      </c>
      <c r="C25" s="58" t="n">
        <f aca="false">INDEX(Tables!$C$16:$C$23,MATCH(A25,Tables!$A$16:$A$23,1))</f>
        <v>0.15</v>
      </c>
      <c r="D25" s="58" t="n">
        <f aca="false">INDEX(Tables!$D$16:$D$23,MATCH(A25,Tables!$A$16:$A$23,1))</f>
        <v>0.1</v>
      </c>
    </row>
    <row r="26" customFormat="false" ht="15" hidden="false" customHeight="false" outlineLevel="0" collapsed="false">
      <c r="A26" s="56" t="n">
        <v>35</v>
      </c>
      <c r="B26" s="58" t="n">
        <f aca="false">INDEX(Tables!$B$16:$B$23,MATCH(A26,Tables!$A$16:$A$23,1))</f>
        <v>0.7</v>
      </c>
      <c r="C26" s="58" t="n">
        <f aca="false">INDEX(Tables!$C$16:$C$23,MATCH(A26,Tables!$A$16:$A$23,1))</f>
        <v>0.2</v>
      </c>
      <c r="D26" s="58" t="n">
        <f aca="false">INDEX(Tables!$D$16:$D$23,MATCH(A26,Tables!$A$16:$A$23,1))</f>
        <v>0.1</v>
      </c>
    </row>
    <row r="27" customFormat="false" ht="15" hidden="false" customHeight="false" outlineLevel="0" collapsed="false">
      <c r="A27" s="56" t="n">
        <v>40</v>
      </c>
      <c r="B27" s="58" t="n">
        <f aca="false">INDEX(Tables!$B$16:$B$23,MATCH(A27,Tables!$A$16:$A$23,1))</f>
        <v>0.65</v>
      </c>
      <c r="C27" s="58" t="n">
        <f aca="false">INDEX(Tables!$C$16:$C$23,MATCH(A27,Tables!$A$16:$A$23,1))</f>
        <v>0.25</v>
      </c>
      <c r="D27" s="58" t="n">
        <f aca="false">INDEX(Tables!$D$16:$D$23,MATCH(A27,Tables!$A$16:$A$23,1))</f>
        <v>0.1</v>
      </c>
    </row>
    <row r="28" customFormat="false" ht="15" hidden="false" customHeight="false" outlineLevel="0" collapsed="false">
      <c r="A28" s="56" t="n">
        <v>45</v>
      </c>
      <c r="B28" s="58" t="n">
        <f aca="false">INDEX(Tables!$B$16:$B$23,MATCH(A28,Tables!$A$16:$A$23,1))</f>
        <v>0.6</v>
      </c>
      <c r="C28" s="58" t="n">
        <f aca="false">INDEX(Tables!$C$16:$C$23,MATCH(A28,Tables!$A$16:$A$23,1))</f>
        <v>0.3</v>
      </c>
      <c r="D28" s="58" t="n">
        <f aca="false">INDEX(Tables!$D$16:$D$23,MATCH(A28,Tables!$A$16:$A$23,1))</f>
        <v>0.1</v>
      </c>
    </row>
    <row r="29" customFormat="false" ht="15" hidden="false" customHeight="false" outlineLevel="0" collapsed="false">
      <c r="A29" s="56" t="n">
        <v>50</v>
      </c>
      <c r="B29" s="58" t="n">
        <f aca="false">INDEX(Tables!$B$16:$B$23,MATCH(A29,Tables!$A$16:$A$23,1))</f>
        <v>0.5</v>
      </c>
      <c r="C29" s="58" t="n">
        <f aca="false">INDEX(Tables!$C$16:$C$23,MATCH(A29,Tables!$A$16:$A$23,1))</f>
        <v>0.4</v>
      </c>
      <c r="D29" s="58" t="n">
        <f aca="false">INDEX(Tables!$D$16:$D$23,MATCH(A29,Tables!$A$16:$A$23,1))</f>
        <v>0.1</v>
      </c>
    </row>
    <row r="30" customFormat="false" ht="15" hidden="false" customHeight="false" outlineLevel="0" collapsed="false">
      <c r="A30" s="56" t="n">
        <v>55</v>
      </c>
      <c r="B30" s="58" t="n">
        <f aca="false">INDEX(Tables!$B$16:$B$23,MATCH(A30,Tables!$A$16:$A$23,1))</f>
        <v>0.4</v>
      </c>
      <c r="C30" s="58" t="n">
        <f aca="false">INDEX(Tables!$C$16:$C$23,MATCH(A30,Tables!$A$16:$A$23,1))</f>
        <v>0.5</v>
      </c>
      <c r="D30" s="58" t="n">
        <f aca="false">INDEX(Tables!$D$16:$D$23,MATCH(A30,Tables!$A$16:$A$23,1))</f>
        <v>0.1</v>
      </c>
    </row>
    <row r="31" customFormat="false" ht="15" hidden="false" customHeight="false" outlineLevel="0" collapsed="false">
      <c r="A31" s="56" t="n">
        <v>60</v>
      </c>
      <c r="B31" s="58" t="n">
        <f aca="false">INDEX(Tables!$B$16:$B$23,MATCH(A31,Tables!$A$16:$A$23,1))</f>
        <v>0.3</v>
      </c>
      <c r="C31" s="58" t="n">
        <f aca="false">INDEX(Tables!$C$16:$C$23,MATCH(A31,Tables!$A$16:$A$23,1))</f>
        <v>0.6</v>
      </c>
      <c r="D31" s="58" t="n">
        <f aca="false">INDEX(Tables!$D$16:$D$23,MATCH(A31,Tables!$A$16:$A$23,1))</f>
        <v>0.1</v>
      </c>
    </row>
    <row r="32" customFormat="false" ht="15" hidden="false" customHeight="false" outlineLevel="0" collapsed="false">
      <c r="A32" s="56" t="n">
        <v>65</v>
      </c>
      <c r="B32" s="58" t="n">
        <f aca="false">INDEX(Tables!$B$16:$B$23,MATCH(A32,Tables!$A$16:$A$23,1))</f>
        <v>0.25</v>
      </c>
      <c r="C32" s="58" t="n">
        <f aca="false">INDEX(Tables!$C$16:$C$23,MATCH(A32,Tables!$A$16:$A$23,1))</f>
        <v>0.65</v>
      </c>
      <c r="D32" s="58" t="n">
        <f aca="false">INDEX(Tables!$D$16:$D$23,MATCH(A32,Tables!$A$16:$A$23,1))</f>
        <v>0.1</v>
      </c>
    </row>
    <row r="33" customFormat="false" ht="15" hidden="false" customHeight="false" outlineLevel="0" collapsed="false">
      <c r="A33" s="56" t="n">
        <v>70</v>
      </c>
      <c r="B33" s="58" t="n">
        <f aca="false">INDEX(Tables!$B$16:$B$23,MATCH(A33,Tables!$A$16:$A$23,1))</f>
        <v>0.25</v>
      </c>
      <c r="C33" s="58" t="n">
        <f aca="false">INDEX(Tables!$C$16:$C$23,MATCH(A33,Tables!$A$16:$A$23,1))</f>
        <v>0.65</v>
      </c>
      <c r="D33" s="58" t="n">
        <f aca="false">INDEX(Tables!$D$16:$D$23,MATCH(A33,Tables!$A$16:$A$23,1))</f>
        <v>0.1</v>
      </c>
    </row>
    <row r="34" customFormat="false" ht="15" hidden="false" customHeight="false" outlineLevel="0" collapsed="false">
      <c r="A34" s="56" t="n">
        <v>75</v>
      </c>
      <c r="B34" s="58" t="n">
        <f aca="false">INDEX(Tables!$B$16:$B$23,MATCH(A34,Tables!$A$16:$A$23,1))</f>
        <v>0.25</v>
      </c>
      <c r="C34" s="58" t="n">
        <f aca="false">INDEX(Tables!$C$16:$C$23,MATCH(A34,Tables!$A$16:$A$23,1))</f>
        <v>0.65</v>
      </c>
      <c r="D34" s="58" t="n">
        <f aca="false">INDEX(Tables!$D$16:$D$23,MATCH(A34,Tables!$A$16:$A$23,1))</f>
        <v>0.1</v>
      </c>
    </row>
    <row r="35" customFormat="false" ht="15" hidden="false" customHeight="false" outlineLevel="0" collapsed="false">
      <c r="A35" s="56" t="n">
        <v>80</v>
      </c>
      <c r="B35" s="58" t="n">
        <f aca="false">INDEX(Tables!$B$16:$B$23,MATCH(A35,Tables!$A$16:$A$23,1))</f>
        <v>0.25</v>
      </c>
      <c r="C35" s="58" t="n">
        <f aca="false">INDEX(Tables!$C$16:$C$23,MATCH(A35,Tables!$A$16:$A$23,1))</f>
        <v>0.65</v>
      </c>
      <c r="D35" s="58" t="n">
        <f aca="false">INDEX(Tables!$D$16:$D$23,MATCH(A35,Tables!$A$16:$A$23,1))</f>
        <v>0.1</v>
      </c>
    </row>
    <row r="36" customFormat="false" ht="15" hidden="false" customHeight="false" outlineLevel="0" collapsed="false">
      <c r="A36" s="56" t="n">
        <v>85</v>
      </c>
      <c r="B36" s="58" t="n">
        <f aca="false">INDEX(Tables!$B$16:$B$23,MATCH(A36,Tables!$A$16:$A$23,1))</f>
        <v>0.25</v>
      </c>
      <c r="C36" s="58" t="n">
        <f aca="false">INDEX(Tables!$C$16:$C$23,MATCH(A36,Tables!$A$16:$A$23,1))</f>
        <v>0.65</v>
      </c>
      <c r="D36" s="58" t="n">
        <f aca="false">INDEX(Tables!$D$16:$D$23,MATCH(A36,Tables!$A$16:$A$23,1))</f>
        <v>0.1</v>
      </c>
    </row>
    <row r="38" customFormat="false" ht="27.75" hidden="false" customHeight="true" outlineLevel="0" collapsed="false">
      <c r="A38" s="3" t="s">
        <v>593</v>
      </c>
      <c r="B38" s="3"/>
      <c r="C38" s="3"/>
      <c r="D38" s="3"/>
    </row>
  </sheetData>
  <mergeCells count="2">
    <mergeCell ref="A20:D20"/>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74"/>
    <col collapsed="false" customWidth="true" hidden="false" outlineLevel="0" max="4" min="4" style="0" width="30"/>
  </cols>
  <sheetData>
    <row r="1" customFormat="false" ht="25.5" hidden="false" customHeight="true" outlineLevel="0" collapsed="false">
      <c r="A1" s="37" t="s">
        <v>594</v>
      </c>
      <c r="B1" s="2"/>
      <c r="C1" s="2"/>
      <c r="D1" s="2"/>
    </row>
    <row r="3" customFormat="false" ht="15" hidden="false" customHeight="false" outlineLevel="0" collapsed="false">
      <c r="A3" s="68" t="s">
        <v>595</v>
      </c>
      <c r="B3" s="5"/>
      <c r="C3" s="5"/>
      <c r="D3" s="5"/>
    </row>
    <row r="4" customFormat="false" ht="15" hidden="false" customHeight="false" outlineLevel="0" collapsed="false">
      <c r="A4" s="33" t="s">
        <v>596</v>
      </c>
      <c r="B4" s="33" t="s">
        <v>597</v>
      </c>
      <c r="C4" s="33" t="s">
        <v>598</v>
      </c>
      <c r="D4" s="33" t="s">
        <v>599</v>
      </c>
    </row>
    <row r="5" customFormat="false" ht="51.75" hidden="false" customHeight="true" outlineLevel="0" collapsed="false">
      <c r="A5" s="69" t="s">
        <v>600</v>
      </c>
      <c r="B5" s="70" t="s">
        <v>601</v>
      </c>
      <c r="C5" s="71" t="s">
        <v>602</v>
      </c>
      <c r="D5" s="72" t="s">
        <v>603</v>
      </c>
    </row>
    <row r="6" customFormat="false" ht="51.75" hidden="false" customHeight="true" outlineLevel="0" collapsed="false">
      <c r="A6" s="69" t="s">
        <v>604</v>
      </c>
      <c r="B6" s="70" t="s">
        <v>605</v>
      </c>
      <c r="C6" s="71" t="s">
        <v>606</v>
      </c>
      <c r="D6" s="72" t="s">
        <v>607</v>
      </c>
    </row>
    <row r="7" customFormat="false" ht="51.75" hidden="false" customHeight="true" outlineLevel="0" collapsed="false">
      <c r="A7" s="69" t="s">
        <v>608</v>
      </c>
      <c r="B7" s="70" t="s">
        <v>609</v>
      </c>
      <c r="C7" s="71" t="s">
        <v>610</v>
      </c>
      <c r="D7" s="72" t="s">
        <v>611</v>
      </c>
    </row>
    <row r="8" customFormat="false" ht="51.75" hidden="false" customHeight="true" outlineLevel="0" collapsed="false">
      <c r="A8" s="69" t="s">
        <v>612</v>
      </c>
      <c r="B8" s="70" t="s">
        <v>613</v>
      </c>
      <c r="C8" s="71" t="s">
        <v>614</v>
      </c>
      <c r="D8" s="72" t="s">
        <v>615</v>
      </c>
    </row>
    <row r="9" customFormat="false" ht="51.75" hidden="false" customHeight="true" outlineLevel="0" collapsed="false">
      <c r="A9" s="69" t="s">
        <v>616</v>
      </c>
      <c r="B9" s="70" t="s">
        <v>617</v>
      </c>
      <c r="C9" s="71" t="s">
        <v>618</v>
      </c>
      <c r="D9" s="72" t="s">
        <v>619</v>
      </c>
    </row>
    <row r="10" customFormat="false" ht="51.75" hidden="false" customHeight="true" outlineLevel="0" collapsed="false">
      <c r="A10" s="69" t="s">
        <v>620</v>
      </c>
      <c r="B10" s="70" t="s">
        <v>621</v>
      </c>
      <c r="C10" s="71" t="s">
        <v>622</v>
      </c>
      <c r="D10" s="72" t="s">
        <v>623</v>
      </c>
    </row>
    <row r="11" customFormat="false" ht="51.75" hidden="false" customHeight="true" outlineLevel="0" collapsed="false">
      <c r="A11" s="69" t="s">
        <v>624</v>
      </c>
      <c r="B11" s="70" t="s">
        <v>625</v>
      </c>
      <c r="C11" s="71" t="s">
        <v>626</v>
      </c>
      <c r="D11" s="72" t="s">
        <v>627</v>
      </c>
    </row>
    <row r="12" customFormat="false" ht="51.75" hidden="false" customHeight="true" outlineLevel="0" collapsed="false">
      <c r="A12" s="69" t="s">
        <v>628</v>
      </c>
      <c r="B12" s="70" t="s">
        <v>629</v>
      </c>
      <c r="C12" s="71" t="s">
        <v>630</v>
      </c>
      <c r="D12" s="72" t="s">
        <v>631</v>
      </c>
    </row>
    <row r="13" customFormat="false" ht="51.75" hidden="false" customHeight="true" outlineLevel="0" collapsed="false">
      <c r="A13" s="69" t="s">
        <v>632</v>
      </c>
      <c r="B13" s="70" t="s">
        <v>633</v>
      </c>
      <c r="C13" s="71" t="s">
        <v>634</v>
      </c>
      <c r="D13" s="72" t="s">
        <v>635</v>
      </c>
    </row>
    <row r="14" customFormat="false" ht="51.75" hidden="false" customHeight="true" outlineLevel="0" collapsed="false">
      <c r="A14" s="69" t="s">
        <v>636</v>
      </c>
      <c r="B14" s="70" t="s">
        <v>637</v>
      </c>
      <c r="C14" s="71" t="s">
        <v>638</v>
      </c>
      <c r="D14" s="72" t="s">
        <v>635</v>
      </c>
    </row>
    <row r="15" customFormat="false" ht="51.75" hidden="false" customHeight="true" outlineLevel="0" collapsed="false">
      <c r="A15" s="69" t="s">
        <v>639</v>
      </c>
      <c r="B15" s="70" t="s">
        <v>640</v>
      </c>
      <c r="C15" s="71" t="s">
        <v>641</v>
      </c>
      <c r="D15" s="72" t="s">
        <v>619</v>
      </c>
    </row>
    <row r="17" customFormat="false" ht="15" hidden="false" customHeight="false" outlineLevel="0" collapsed="false">
      <c r="A17" s="68" t="s">
        <v>642</v>
      </c>
      <c r="B17" s="5"/>
      <c r="C17" s="5"/>
      <c r="D17" s="5"/>
    </row>
    <row r="18" customFormat="false" ht="15" hidden="false" customHeight="false" outlineLevel="0" collapsed="false">
      <c r="A18" s="33" t="s">
        <v>643</v>
      </c>
      <c r="B18" s="33" t="s">
        <v>644</v>
      </c>
      <c r="C18" s="33" t="s">
        <v>645</v>
      </c>
      <c r="D18" s="33" t="s">
        <v>599</v>
      </c>
    </row>
    <row r="19" customFormat="false" ht="57.75" hidden="false" customHeight="true" outlineLevel="0" collapsed="false">
      <c r="A19" s="69" t="s">
        <v>646</v>
      </c>
      <c r="B19" s="70" t="s">
        <v>647</v>
      </c>
      <c r="C19" s="71" t="s">
        <v>648</v>
      </c>
      <c r="D19" s="72" t="s">
        <v>649</v>
      </c>
    </row>
    <row r="20" customFormat="false" ht="57.75" hidden="false" customHeight="true" outlineLevel="0" collapsed="false">
      <c r="A20" s="69" t="s">
        <v>650</v>
      </c>
      <c r="B20" s="70" t="s">
        <v>651</v>
      </c>
      <c r="C20" s="71" t="s">
        <v>652</v>
      </c>
      <c r="D20" s="72" t="s">
        <v>653</v>
      </c>
    </row>
    <row r="21" customFormat="false" ht="57.75" hidden="false" customHeight="true" outlineLevel="0" collapsed="false">
      <c r="A21" s="69" t="s">
        <v>654</v>
      </c>
      <c r="B21" s="70" t="s">
        <v>655</v>
      </c>
      <c r="C21" s="71" t="s">
        <v>656</v>
      </c>
      <c r="D21" s="72" t="s">
        <v>653</v>
      </c>
    </row>
    <row r="22" customFormat="false" ht="57.75" hidden="false" customHeight="true" outlineLevel="0" collapsed="false">
      <c r="A22" s="69" t="s">
        <v>657</v>
      </c>
      <c r="B22" s="70" t="s">
        <v>658</v>
      </c>
      <c r="C22" s="71" t="s">
        <v>659</v>
      </c>
      <c r="D22" s="72" t="s">
        <v>660</v>
      </c>
    </row>
    <row r="23" customFormat="false" ht="57.75" hidden="false" customHeight="true" outlineLevel="0" collapsed="false">
      <c r="A23" s="69" t="s">
        <v>661</v>
      </c>
      <c r="B23" s="70" t="s">
        <v>662</v>
      </c>
      <c r="C23" s="71" t="s">
        <v>663</v>
      </c>
      <c r="D23" s="72" t="s">
        <v>660</v>
      </c>
    </row>
    <row r="24" customFormat="false" ht="57.75" hidden="false" customHeight="true" outlineLevel="0" collapsed="false">
      <c r="A24" s="69" t="s">
        <v>664</v>
      </c>
      <c r="B24" s="70" t="s">
        <v>665</v>
      </c>
      <c r="C24" s="71" t="s">
        <v>666</v>
      </c>
      <c r="D24" s="72" t="s">
        <v>631</v>
      </c>
    </row>
    <row r="25" customFormat="false" ht="57.75" hidden="false" customHeight="true" outlineLevel="0" collapsed="false">
      <c r="A25" s="69" t="s">
        <v>667</v>
      </c>
      <c r="B25" s="70" t="s">
        <v>668</v>
      </c>
      <c r="C25" s="71" t="s">
        <v>669</v>
      </c>
      <c r="D25" s="72" t="s">
        <v>631</v>
      </c>
    </row>
    <row r="26" customFormat="false" ht="57.75" hidden="false" customHeight="true" outlineLevel="0" collapsed="false">
      <c r="A26" s="69" t="s">
        <v>670</v>
      </c>
      <c r="B26" s="70" t="s">
        <v>671</v>
      </c>
      <c r="C26" s="71" t="s">
        <v>672</v>
      </c>
      <c r="D26" s="72" t="s">
        <v>631</v>
      </c>
    </row>
    <row r="27" customFormat="false" ht="57.75" hidden="false" customHeight="true" outlineLevel="0" collapsed="false">
      <c r="A27" s="69" t="s">
        <v>673</v>
      </c>
      <c r="B27" s="70" t="s">
        <v>674</v>
      </c>
      <c r="C27" s="71" t="s">
        <v>675</v>
      </c>
      <c r="D27" s="72" t="s">
        <v>631</v>
      </c>
    </row>
    <row r="28" customFormat="false" ht="57.75" hidden="false" customHeight="true" outlineLevel="0" collapsed="false">
      <c r="A28" s="69" t="s">
        <v>676</v>
      </c>
      <c r="B28" s="70" t="s">
        <v>677</v>
      </c>
      <c r="C28" s="71" t="s">
        <v>678</v>
      </c>
      <c r="D28" s="72" t="s">
        <v>679</v>
      </c>
    </row>
    <row r="29" customFormat="false" ht="57.75" hidden="false" customHeight="true" outlineLevel="0" collapsed="false">
      <c r="A29" s="69" t="s">
        <v>680</v>
      </c>
      <c r="B29" s="70" t="s">
        <v>681</v>
      </c>
      <c r="C29" s="71" t="s">
        <v>682</v>
      </c>
      <c r="D29" s="72" t="s">
        <v>683</v>
      </c>
    </row>
    <row r="30" customFormat="false" ht="57.75" hidden="false" customHeight="true" outlineLevel="0" collapsed="false">
      <c r="A30" s="69" t="s">
        <v>684</v>
      </c>
      <c r="B30" s="70" t="s">
        <v>685</v>
      </c>
      <c r="C30" s="71" t="s">
        <v>686</v>
      </c>
      <c r="D30" s="72" t="s">
        <v>653</v>
      </c>
    </row>
    <row r="32" customFormat="false" ht="15" hidden="false" customHeight="false" outlineLevel="0" collapsed="false">
      <c r="A32" s="52" t="s">
        <v>687</v>
      </c>
      <c r="B32" s="52"/>
      <c r="C32" s="52"/>
      <c r="D32" s="52"/>
    </row>
  </sheetData>
  <mergeCells count="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
    <col collapsed="false" customWidth="true" hidden="false" outlineLevel="0" max="4" min="4" style="0" width="14"/>
    <col collapsed="false" customWidth="true" hidden="false" outlineLevel="0" max="5" min="5" style="0" width="16"/>
    <col collapsed="false" customWidth="true" hidden="false" outlineLevel="0" max="6" min="6" style="0" width="3"/>
    <col collapsed="false" customWidth="true" hidden="false" outlineLevel="0" max="7" min="7" style="0" width="14"/>
    <col collapsed="false" customWidth="true" hidden="false" outlineLevel="0" max="8" min="8" style="0" width="18"/>
    <col collapsed="false" customWidth="true" hidden="false" outlineLevel="0" max="9" min="9" style="0" width="3"/>
    <col collapsed="false" customWidth="true" hidden="false" outlineLevel="0" max="10" min="10" style="0" width="14"/>
    <col collapsed="false" customWidth="true" hidden="false" outlineLevel="0" max="11" min="11" style="0" width="18"/>
    <col collapsed="false" customWidth="true" hidden="false" outlineLevel="0" max="12" min="12" style="0" width="3"/>
    <col collapsed="false" customWidth="true" hidden="false" outlineLevel="0" max="16" min="13" style="0" width="10"/>
  </cols>
  <sheetData>
    <row r="1" customFormat="false" ht="25.5" hidden="false" customHeight="true" outlineLevel="0" collapsed="false">
      <c r="A1" s="73" t="s">
        <v>688</v>
      </c>
      <c r="B1" s="2"/>
      <c r="C1" s="2"/>
      <c r="D1" s="2"/>
      <c r="E1" s="2"/>
      <c r="F1" s="2"/>
      <c r="G1" s="2"/>
      <c r="H1" s="2"/>
      <c r="I1" s="2"/>
      <c r="J1" s="2"/>
      <c r="K1" s="2"/>
      <c r="L1" s="2"/>
      <c r="M1" s="2"/>
      <c r="N1" s="2"/>
      <c r="O1" s="2"/>
      <c r="P1" s="2"/>
    </row>
    <row r="3" customFormat="false" ht="15" hidden="false" customHeight="false" outlineLevel="0" collapsed="false">
      <c r="A3" s="48" t="s">
        <v>689</v>
      </c>
      <c r="D3" s="48" t="s">
        <v>690</v>
      </c>
      <c r="G3" s="48" t="s">
        <v>691</v>
      </c>
      <c r="J3" s="48" t="s">
        <v>692</v>
      </c>
    </row>
    <row r="4" customFormat="false" ht="23.85" hidden="false" customHeight="false" outlineLevel="0" collapsed="false">
      <c r="A4" s="33" t="s">
        <v>693</v>
      </c>
      <c r="B4" s="33" t="s">
        <v>694</v>
      </c>
      <c r="D4" s="33" t="s">
        <v>693</v>
      </c>
      <c r="E4" s="33" t="s">
        <v>695</v>
      </c>
      <c r="G4" s="33" t="s">
        <v>693</v>
      </c>
      <c r="H4" s="33" t="s">
        <v>696</v>
      </c>
      <c r="J4" s="33" t="s">
        <v>693</v>
      </c>
      <c r="K4" s="33" t="s">
        <v>695</v>
      </c>
    </row>
    <row r="5" customFormat="false" ht="15" hidden="false" customHeight="false" outlineLevel="0" collapsed="false">
      <c r="A5" s="40" t="n">
        <v>0</v>
      </c>
      <c r="B5" s="74" t="n">
        <v>20</v>
      </c>
      <c r="D5" s="40" t="n">
        <v>0</v>
      </c>
      <c r="E5" s="40" t="n">
        <v>105</v>
      </c>
      <c r="G5" s="40" t="n">
        <v>0</v>
      </c>
      <c r="H5" s="75" t="n">
        <v>500000</v>
      </c>
      <c r="J5" s="40" t="n">
        <v>0</v>
      </c>
      <c r="K5" s="40" t="n">
        <v>1400</v>
      </c>
    </row>
    <row r="6" customFormat="false" ht="15" hidden="false" customHeight="false" outlineLevel="0" collapsed="false">
      <c r="A6" s="40" t="n">
        <v>30</v>
      </c>
      <c r="B6" s="74" t="n">
        <v>18</v>
      </c>
      <c r="D6" s="40" t="n">
        <v>30</v>
      </c>
      <c r="E6" s="40" t="n">
        <v>135</v>
      </c>
      <c r="G6" s="40" t="n">
        <v>30</v>
      </c>
      <c r="H6" s="75" t="n">
        <v>750000</v>
      </c>
      <c r="J6" s="40" t="n">
        <v>30</v>
      </c>
      <c r="K6" s="40" t="n">
        <v>1600</v>
      </c>
    </row>
    <row r="7" customFormat="false" ht="15" hidden="false" customHeight="false" outlineLevel="0" collapsed="false">
      <c r="A7" s="40" t="n">
        <v>40</v>
      </c>
      <c r="B7" s="74" t="n">
        <v>15</v>
      </c>
      <c r="D7" s="40" t="n">
        <v>35</v>
      </c>
      <c r="E7" s="40" t="n">
        <v>190</v>
      </c>
      <c r="G7" s="40" t="n">
        <v>40</v>
      </c>
      <c r="H7" s="75" t="n">
        <v>1000000</v>
      </c>
      <c r="J7" s="40" t="n">
        <v>40</v>
      </c>
      <c r="K7" s="40" t="n">
        <v>2200</v>
      </c>
    </row>
    <row r="8" customFormat="false" ht="15" hidden="false" customHeight="false" outlineLevel="0" collapsed="false">
      <c r="A8" s="40" t="n">
        <v>45</v>
      </c>
      <c r="B8" s="74" t="n">
        <v>12</v>
      </c>
      <c r="D8" s="40" t="n">
        <v>40</v>
      </c>
      <c r="E8" s="40" t="n">
        <v>285</v>
      </c>
      <c r="G8" s="40" t="n">
        <v>50</v>
      </c>
      <c r="H8" s="75" t="n">
        <v>1500000</v>
      </c>
      <c r="J8" s="40" t="n">
        <v>50</v>
      </c>
      <c r="K8" s="40" t="n">
        <v>3600</v>
      </c>
    </row>
    <row r="9" customFormat="false" ht="15" hidden="false" customHeight="false" outlineLevel="0" collapsed="false">
      <c r="A9" s="40" t="n">
        <v>50</v>
      </c>
      <c r="B9" s="74" t="n">
        <v>10</v>
      </c>
      <c r="D9" s="40" t="n">
        <v>45</v>
      </c>
      <c r="E9" s="40" t="n">
        <v>450</v>
      </c>
      <c r="G9" s="40" t="n">
        <v>60</v>
      </c>
      <c r="H9" s="75" t="n">
        <v>2500000</v>
      </c>
      <c r="J9" s="40" t="n">
        <v>60</v>
      </c>
      <c r="K9" s="40" t="n">
        <v>6500</v>
      </c>
    </row>
    <row r="10" customFormat="false" ht="15" hidden="false" customHeight="false" outlineLevel="0" collapsed="false">
      <c r="A10" s="40" t="n">
        <v>55</v>
      </c>
      <c r="B10" s="74" t="n">
        <v>8</v>
      </c>
      <c r="D10" s="40" t="n">
        <v>50</v>
      </c>
      <c r="E10" s="40" t="n">
        <v>720</v>
      </c>
    </row>
    <row r="11" customFormat="false" ht="15" hidden="false" customHeight="false" outlineLevel="0" collapsed="false">
      <c r="D11" s="40" t="n">
        <v>55</v>
      </c>
      <c r="E11" s="40" t="n">
        <v>1150</v>
      </c>
    </row>
    <row r="14" customFormat="false" ht="15" hidden="false" customHeight="false" outlineLevel="0" collapsed="false">
      <c r="A14" s="48" t="s">
        <v>697</v>
      </c>
    </row>
    <row r="15" customFormat="false" ht="35.05" hidden="false" customHeight="false" outlineLevel="0" collapsed="false">
      <c r="A15" s="33" t="s">
        <v>693</v>
      </c>
      <c r="B15" s="33" t="s">
        <v>590</v>
      </c>
      <c r="C15" s="33" t="s">
        <v>591</v>
      </c>
      <c r="D15" s="33" t="s">
        <v>592</v>
      </c>
    </row>
    <row r="16" customFormat="false" ht="15" hidden="false" customHeight="false" outlineLevel="0" collapsed="false">
      <c r="A16" s="40" t="n">
        <v>0</v>
      </c>
      <c r="B16" s="76" t="n">
        <v>0.75</v>
      </c>
      <c r="C16" s="76" t="n">
        <v>0.15</v>
      </c>
      <c r="D16" s="76" t="n">
        <v>0.1</v>
      </c>
    </row>
    <row r="17" customFormat="false" ht="15" hidden="false" customHeight="false" outlineLevel="0" collapsed="false">
      <c r="A17" s="40" t="n">
        <v>35</v>
      </c>
      <c r="B17" s="76" t="n">
        <v>0.7</v>
      </c>
      <c r="C17" s="76" t="n">
        <v>0.2</v>
      </c>
      <c r="D17" s="76" t="n">
        <v>0.1</v>
      </c>
    </row>
    <row r="18" customFormat="false" ht="15" hidden="false" customHeight="false" outlineLevel="0" collapsed="false">
      <c r="A18" s="40" t="n">
        <v>40</v>
      </c>
      <c r="B18" s="76" t="n">
        <v>0.65</v>
      </c>
      <c r="C18" s="76" t="n">
        <v>0.25</v>
      </c>
      <c r="D18" s="76" t="n">
        <v>0.1</v>
      </c>
    </row>
    <row r="19" customFormat="false" ht="15" hidden="false" customHeight="false" outlineLevel="0" collapsed="false">
      <c r="A19" s="40" t="n">
        <v>45</v>
      </c>
      <c r="B19" s="76" t="n">
        <v>0.6</v>
      </c>
      <c r="C19" s="76" t="n">
        <v>0.3</v>
      </c>
      <c r="D19" s="76" t="n">
        <v>0.1</v>
      </c>
    </row>
    <row r="20" customFormat="false" ht="15" hidden="false" customHeight="false" outlineLevel="0" collapsed="false">
      <c r="A20" s="40" t="n">
        <v>50</v>
      </c>
      <c r="B20" s="76" t="n">
        <v>0.5</v>
      </c>
      <c r="C20" s="76" t="n">
        <v>0.4</v>
      </c>
      <c r="D20" s="76" t="n">
        <v>0.1</v>
      </c>
    </row>
    <row r="21" customFormat="false" ht="15" hidden="false" customHeight="false" outlineLevel="0" collapsed="false">
      <c r="A21" s="40" t="n">
        <v>55</v>
      </c>
      <c r="B21" s="76" t="n">
        <v>0.4</v>
      </c>
      <c r="C21" s="76" t="n">
        <v>0.5</v>
      </c>
      <c r="D21" s="76" t="n">
        <v>0.1</v>
      </c>
    </row>
    <row r="22" customFormat="false" ht="15" hidden="false" customHeight="false" outlineLevel="0" collapsed="false">
      <c r="A22" s="40" t="n">
        <v>60</v>
      </c>
      <c r="B22" s="76" t="n">
        <v>0.3</v>
      </c>
      <c r="C22" s="76" t="n">
        <v>0.6</v>
      </c>
      <c r="D22" s="76" t="n">
        <v>0.1</v>
      </c>
    </row>
    <row r="23" customFormat="false" ht="15" hidden="false" customHeight="false" outlineLevel="0" collapsed="false">
      <c r="A23" s="40" t="n">
        <v>65</v>
      </c>
      <c r="B23" s="76" t="n">
        <v>0.25</v>
      </c>
      <c r="C23" s="76" t="n">
        <v>0.65</v>
      </c>
      <c r="D23" s="76" t="n">
        <v>0.1</v>
      </c>
    </row>
    <row r="25" customFormat="false" ht="15" hidden="false" customHeight="false" outlineLevel="0" collapsed="false">
      <c r="A25" s="77" t="s">
        <v>698</v>
      </c>
      <c r="B25" s="43" t="n">
        <v>0.3</v>
      </c>
    </row>
    <row r="26" customFormat="false" ht="15" hidden="false" customHeight="false" outlineLevel="0" collapsed="false">
      <c r="A26" s="77" t="s">
        <v>699</v>
      </c>
      <c r="B26" s="78" t="n">
        <v>220</v>
      </c>
    </row>
    <row r="27" customFormat="false" ht="15" hidden="false" customHeight="false" outlineLevel="0" collapsed="false">
      <c r="A27" s="77" t="s">
        <v>700</v>
      </c>
      <c r="B27" s="78" t="n">
        <v>90</v>
      </c>
    </row>
    <row r="29" customFormat="false" ht="15" hidden="false" customHeight="false" outlineLevel="0" collapsed="false">
      <c r="A29" s="79" t="s">
        <v>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2026-08-03T15:04:23Z</dcterms:created>
  <dc:creator>openpyxl</dc:creator>
  <dc:description/>
  <dc:language>en-US</dc:language>
  <cp:lastModifiedBy/>
  <dcterms:modified xsi:type="dcterms:W3CDTF">2026-08-03T20:34:24Z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